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mia\AppData\Roaming\DBeaverData\workspace6\My_2PostgreeSQL_project\visualization\"/>
    </mc:Choice>
  </mc:AlternateContent>
  <xr:revisionPtr revIDLastSave="0" documentId="13_ncr:1_{D9DCEDA1-8B31-4F26-A58F-DE378DF07E22}" xr6:coauthVersionLast="47" xr6:coauthVersionMax="47" xr10:uidLastSave="{00000000-0000-0000-0000-000000000000}"/>
  <workbookProtection lockStructure="1"/>
  <bookViews>
    <workbookView xWindow="-108" yWindow="-108" windowWidth="23256" windowHeight="12456" firstSheet="2" activeTab="4" xr2:uid="{00000000-000D-0000-FFFF-FFFF00000000}"/>
  </bookViews>
  <sheets>
    <sheet name="1_client_categories" sheetId="1" r:id="rId1"/>
    <sheet name="2.1_client_revenue_by_cohort" sheetId="5" r:id="rId2"/>
    <sheet name="2.2_Revenue_by_year_since_1ord" sheetId="6" r:id="rId3"/>
    <sheet name="2.3_client_revenue_1st_cohort" sheetId="7" r:id="rId4"/>
    <sheet name="3_active_clients" sheetId="8" r:id="rId5"/>
  </sheets>
  <calcPr calcId="191029"/>
  <pivotCaches>
    <pivotCache cacheId="305" r:id="rId6"/>
    <pivotCache cacheId="342" r:id="rId7"/>
    <pivotCache cacheId="345" r:id="rId8"/>
    <pivotCache cacheId="348" r:id="rId9"/>
    <pivotCache cacheId="36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1_client_categories_e66af372-e799-4f54-94d3-642488fd8091" name="1_client_categories" connection="Query - 1_client_categories"/>
          <x15:modelTable id="2 1_client_revenue_by_cohort_6add806a-6c31-4383-b06d-445f7405c35c" name="2 1_client_revenue_by_cohort" connection="Query - 2 1_client_revenue_by_cohort"/>
          <x15:modelTable id="2 2_Annual_Revenue_by_Client_Cohort_44d2a9eb-162d-498d-9405-eb4753f12441" name="2 2_Annual_Revenue_by_Client_Cohort" connection="Query - 2 2_Annual_Revenue_by_Client_Cohort"/>
          <x15:modelTable id="2 3_Cohort_client_revenue_filtered_3caca25c-85e2-4bf9-93b7-5b015f43b8f5" name="2 3_Cohort_client_revenue_filtered" connection="Query - 2 3_Cohort_client_revenue_filtered"/>
          <x15:modelTable id="3_active_clients_0d3e2a1a-0a32-4fd7-ab80-228651dfb3bb" name="3_active_clients" connection="Query - 3_active_clien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 a="1"/>
  <c r="G3" i="8" s="1"/>
  <c r="F3" i="8" a="1"/>
  <c r="F3" i="8" s="1"/>
  <c r="E3" i="8" a="1"/>
  <c r="E3" i="8" s="1"/>
  <c r="I9" i="7" a="1"/>
  <c r="I9" i="7" s="1"/>
  <c r="H9" i="7" a="1"/>
  <c r="H9" i="7" s="1"/>
  <c r="F5" i="6" a="1"/>
  <c r="F5" i="6" s="1"/>
  <c r="E5" i="6" a="1"/>
  <c r="E5" i="6" s="1"/>
  <c r="I9" i="5" a="1"/>
  <c r="I9" i="5" s="1"/>
  <c r="H9" i="5" a="1"/>
  <c r="H9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1D333-B45A-44D6-9501-4A02314D164C}" name="Query - 1_client_categories" description="Connection to the '1_client_categories' query in the workbook." type="100" refreshedVersion="8" minRefreshableVersion="5">
    <extLst>
      <ext xmlns:x15="http://schemas.microsoft.com/office/spreadsheetml/2010/11/main" uri="{DE250136-89BD-433C-8126-D09CA5730AF9}">
        <x15:connection id="9e009619-0130-4a4c-9f6e-876b710ea494"/>
      </ext>
    </extLst>
  </connection>
  <connection id="2" xr16:uid="{CBF3AF5F-19B6-49F8-97B4-CFC65C03403E}" name="Query - 2 1_client_revenue_by_cohort" description="Connection to the '2 1_client_revenue_by_cohort' query in the workbook." type="100" refreshedVersion="8" minRefreshableVersion="5">
    <extLst>
      <ext xmlns:x15="http://schemas.microsoft.com/office/spreadsheetml/2010/11/main" uri="{DE250136-89BD-433C-8126-D09CA5730AF9}">
        <x15:connection id="70e559d3-8507-41e3-851e-ed2af34f9016">
          <x15:oledbPr connection="Provider=Microsoft.Mashup.OleDb.1;Data Source=$Workbook$;Location=&quot;2 1_client_revenue_by_cohort&quot;;Extended Properties=&quot;&quot;">
            <x15:dbTables>
              <x15:dbTable name="2 1_client_revenue_by_cohort"/>
            </x15:dbTables>
          </x15:oledbPr>
        </x15:connection>
      </ext>
    </extLst>
  </connection>
  <connection id="3" xr16:uid="{C1723EF8-8EDC-4C9E-8740-E30C72EF2817}" name="Query - 2 2_Annual_Revenue_by_Client_Cohort" description="Connection to the '2 2_Annual_Revenue_by_Client_Cohort' query in the workbook." type="100" refreshedVersion="8" minRefreshableVersion="5">
    <extLst>
      <ext xmlns:x15="http://schemas.microsoft.com/office/spreadsheetml/2010/11/main" uri="{DE250136-89BD-433C-8126-D09CA5730AF9}">
        <x15:connection id="99a4d867-4b34-414b-adbe-76ec061d4405"/>
      </ext>
    </extLst>
  </connection>
  <connection id="4" xr16:uid="{FA2A5E85-BF11-43EF-981B-C4138CD4F2F1}" name="Query - 2 3_Cohort_client_revenue_filtered" description="Connection to the '2 3_Cohort_client_revenue_filtered' query in the workbook." type="100" refreshedVersion="8" minRefreshableVersion="5">
    <extLst>
      <ext xmlns:x15="http://schemas.microsoft.com/office/spreadsheetml/2010/11/main" uri="{DE250136-89BD-433C-8126-D09CA5730AF9}">
        <x15:connection id="82789210-c255-48c4-a44f-0f4c697a30ed">
          <x15:oledbPr connection="Provider=Microsoft.Mashup.OleDb.1;Data Source=$Workbook$;Location=&quot;2 3_Cohort_client_revenue_filtered&quot;;Extended Properties=&quot;&quot;">
            <x15:dbTables>
              <x15:dbTable name="2 3_Cohort_client_revenue_filtered"/>
            </x15:dbTables>
          </x15:oledbPr>
        </x15:connection>
      </ext>
    </extLst>
  </connection>
  <connection id="5" xr16:uid="{4AD88C66-74BC-4970-9CBA-3599F4B685A2}" name="Query - 3_active_clients" description="Connection to the '3_active_clients' query in the workbook." type="100" refreshedVersion="8" minRefreshableVersion="5">
    <extLst>
      <ext xmlns:x15="http://schemas.microsoft.com/office/spreadsheetml/2010/11/main" uri="{DE250136-89BD-433C-8126-D09CA5730AF9}">
        <x15:connection id="2cc2ad0e-7bc3-4a45-bf87-9a17523e0829"/>
      </ext>
    </extLst>
  </connection>
  <connection id="6" xr16:uid="{94AA6A1E-D57B-489A-AECA-124380D1B5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<sst xmlns="http://schemas.openxmlformats.org/spreadsheetml/2006/main" count="32" uniqueCount="23">
  <si>
    <t>1 - Low LTV</t>
  </si>
  <si>
    <t>2 - Medium LTV</t>
  </si>
  <si>
    <t>3 - High LTV</t>
  </si>
  <si>
    <t>Grand Total</t>
  </si>
  <si>
    <t>Total LTV</t>
  </si>
  <si>
    <t>LTV Percentage</t>
  </si>
  <si>
    <t>Client Count</t>
  </si>
  <si>
    <t>Average LTV</t>
  </si>
  <si>
    <t>Client Total Revenue</t>
  </si>
  <si>
    <t>Average Client Revenue</t>
  </si>
  <si>
    <t xml:space="preserve">Average Client Revenue </t>
  </si>
  <si>
    <t>Years Since First Order</t>
  </si>
  <si>
    <t>Total Revenue Percentage</t>
  </si>
  <si>
    <t>Total Revenue</t>
  </si>
  <si>
    <t>Cohort Year</t>
  </si>
  <si>
    <t>Category</t>
  </si>
  <si>
    <t>Total Cohort Revenue</t>
  </si>
  <si>
    <t>Active</t>
  </si>
  <si>
    <t>Churned</t>
  </si>
  <si>
    <t>Client Status</t>
  </si>
  <si>
    <t>Year</t>
  </si>
  <si>
    <t>Total Clients</t>
  </si>
  <si>
    <t>Rate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</si>
</sst>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&quot;$&quot;* #,##0_);_(&quot;$&quot;* \(#,##0\);_(&quot;$&quot;* &quot;-&quot;??_);_(@_)"/>
    <numFmt numFmtId="166" formatCode="0.0%"/>
    <numFmt numFmtId="170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7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0">
    <dxf>
      <numFmt numFmtId="166" formatCode="0.0%"/>
    </dxf>
    <dxf>
      <numFmt numFmtId="166" formatCode="0.0%"/>
    </dxf>
    <dxf>
      <numFmt numFmtId="166" formatCode="0.0%"/>
    </dxf>
    <dxf>
      <numFmt numFmtId="13" formatCode="0%"/>
    </dxf>
    <dxf>
      <numFmt numFmtId="165" formatCode="_(&quot;$&quot;* #,##0_);_(&quot;$&quot;* \(#,##0\);_(&quot;$&quot;* &quot;-&quot;??_);_(@_)"/>
    </dxf>
    <dxf>
      <numFmt numFmtId="13" formatCode="0%"/>
    </dxf>
    <dxf>
      <numFmt numFmtId="170" formatCode="_(* #,##0_);_(* \(#,##0\);_(* &quot;-&quot;??_);_(@_)"/>
    </dxf>
    <dxf>
      <numFmt numFmtId="170" formatCode="_(* #,##0_);_(* \(#,##0\);_(* &quot;-&quot;??_);_(@_)"/>
    </dxf>
    <dxf>
      <numFmt numFmtId="165" formatCode="_(&quot;$&quot;* #,##0_);_(&quot;$&quot;* \(#,##0\);_(&quot;$&quot;* &quot;-&quot;??_);_(@_)"/>
    </dxf>
    <dxf>
      <numFmt numFmtId="170" formatCode="_(* #,##0_);_(* \(#,##0\);_(* &quot;-&quot;??_);_(@_)"/>
    </dxf>
    <dxf>
      <numFmt numFmtId="165" formatCode="_(&quot;$&quot;* #,##0_);_(&quot;$&quot;* \(#,##0\);_(&quot;$&quot;* &quot;-&quot;??_);_(@_)"/>
    </dxf>
    <dxf>
      <numFmt numFmtId="14" formatCode="0.00%"/>
    </dxf>
    <dxf>
      <numFmt numFmtId="13" formatCode="0%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70" formatCode="_(* #,##0_);_(* \(#,##0\);_(* &quot;-&quot;??_);_(@_)"/>
    </dxf>
    <dxf>
      <numFmt numFmtId="170" formatCode="_(* #,##0_);_(* \(#,##0\);_(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[visualization.xlsx]1_client_categories!PivotTable1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Which client lifetime value category contributes the most?</a:t>
            </a:r>
            <a:endParaRPr lang="en-US"/>
          </a:p>
        </c:rich>
      </c:tx>
      <c:layout>
        <c:manualLayout>
          <c:xMode val="edge"/>
          <c:yMode val="edge"/>
          <c:x val="0.10662362317795741"/>
          <c:y val="3.2407353053401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-0.12248756290093009"/>
              <c:y val="8.6124384359352157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fld id="{F9414038-5811-44CF-8FB2-E203A8B6D34E}" type="CELLRANGE">
                  <a:rPr lang="en-US"/>
                  <a:pPr>
                    <a:defRPr/>
                  </a:pPr>
                  <a:t>[CELLRANGE]</a:t>
                </a:fld>
                <a:r>
                  <a:rPr lang="en-US" baseline="0"/>
                  <a:t>, </a:t>
                </a:r>
                <a:fld id="{0F0B9FD2-44BB-48CF-9E55-1150D080690A}" type="CATEGORYNAME">
                  <a:rPr lang="en-US" baseline="0"/>
                  <a:pPr>
                    <a:defRPr/>
                  </a:pPr>
                  <a:t>[CATEGORY NAME]</a:t>
                </a:fld>
                <a:endParaRPr lang="en-US" baseline="0"/>
              </a:p>
            </c:rich>
          </c:tx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7"/>
        <c:spPr>
          <a:solidFill>
            <a:schemeClr val="accent6">
              <a:shade val="65000"/>
              <a:alpha val="90000"/>
            </a:schemeClr>
          </a:solidFill>
          <a:ln w="19050">
            <a:solidFill>
              <a:schemeClr val="accent6">
                <a:shade val="65000"/>
                <a:lumMod val="75000"/>
              </a:schemeClr>
            </a:solidFill>
          </a:ln>
          <a:effectLst>
            <a:innerShdw blurRad="114300">
              <a:schemeClr val="accent6">
                <a:shade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shade val="65000"/>
                <a:lumMod val="75000"/>
              </a:schemeClr>
            </a:contourClr>
          </a:sp3d>
        </c:spPr>
        <c:dLbl>
          <c:idx val="0"/>
          <c:layout>
            <c:manualLayout>
              <c:x val="0.17259930485250893"/>
              <c:y val="-0.11530384324130766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fld id="{893219EF-8851-432C-94D0-611A00F690A2}" type="CELLRANGE">
                  <a:rPr lang="en-US"/>
                  <a:pPr>
                    <a:defRPr/>
                  </a:pPr>
                  <a:t>[CELLRANGE]</a:t>
                </a:fld>
                <a:r>
                  <a:rPr lang="en-US" baseline="0"/>
                  <a:t>, </a:t>
                </a:r>
                <a:fld id="{BB7E6961-6DAF-4CA1-A70B-9D65C5B8A88D}" type="CATEGORYNAME">
                  <a:rPr lang="en-US" baseline="0"/>
                  <a:pPr>
                    <a:defRPr/>
                  </a:pPr>
                  <a:t>[CATEGORY NAME]</a:t>
                </a:fld>
                <a:endParaRPr lang="en-US" baseline="0"/>
              </a:p>
            </c:rich>
          </c:tx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8"/>
        <c:spPr>
          <a:solidFill>
            <a:schemeClr val="accent6">
              <a:tint val="65000"/>
              <a:alpha val="90000"/>
            </a:schemeClr>
          </a:solidFill>
          <a:ln w="19050">
            <a:solidFill>
              <a:schemeClr val="accent6">
                <a:tint val="65000"/>
                <a:lumMod val="75000"/>
              </a:schemeClr>
            </a:solidFill>
          </a:ln>
          <a:effectLst>
            <a:innerShdw blurRad="114300">
              <a:schemeClr val="accent6">
                <a:tint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tint val="65000"/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fld id="{BE3C5139-E966-4524-A370-8BFAA82433D3}" type="CELLRANGE">
                  <a:rPr lang="en-US"/>
                  <a:pPr>
                    <a:defRPr/>
                  </a:pPr>
                  <a:t>[CELLRANGE]</a:t>
                </a:fld>
                <a:r>
                  <a:rPr lang="en-US" baseline="0"/>
                  <a:t>, </a:t>
                </a:r>
                <a:fld id="{F535CFA1-A734-4EF4-98A8-C3F3E5316508}" type="CATEGORYNAME">
                  <a:rPr lang="en-US" baseline="0"/>
                  <a:pPr>
                    <a:defRPr/>
                  </a:pPr>
                  <a:t>[CATEGORY NAME]</a:t>
                </a:fld>
                <a:endParaRPr lang="en-US" baseline="0"/>
              </a:p>
            </c:rich>
          </c:tx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9"/>
        <c:spPr>
          <a:solidFill>
            <a:schemeClr val="accent6">
              <a:tint val="65000"/>
              <a:alpha val="90000"/>
            </a:schemeClr>
          </a:solidFill>
          <a:ln w="19050">
            <a:solidFill>
              <a:schemeClr val="accent6">
                <a:tint val="65000"/>
                <a:lumMod val="75000"/>
              </a:schemeClr>
            </a:solidFill>
          </a:ln>
          <a:effectLst>
            <a:innerShdw blurRad="114300">
              <a:schemeClr val="accent6">
                <a:tint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tint val="65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shade val="65000"/>
              <a:alpha val="90000"/>
            </a:schemeClr>
          </a:solidFill>
          <a:ln w="19050">
            <a:solidFill>
              <a:schemeClr val="accent6">
                <a:shade val="65000"/>
                <a:lumMod val="75000"/>
              </a:schemeClr>
            </a:solidFill>
          </a:ln>
          <a:effectLst>
            <a:innerShdw blurRad="114300">
              <a:schemeClr val="accent6">
                <a:shade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shade val="65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tint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tint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tint val="65000"/>
              <a:alpha val="90000"/>
            </a:schemeClr>
          </a:solidFill>
          <a:ln w="19050">
            <a:solidFill>
              <a:schemeClr val="accent6">
                <a:tint val="65000"/>
                <a:lumMod val="75000"/>
              </a:schemeClr>
            </a:solidFill>
          </a:ln>
          <a:effectLst>
            <a:innerShdw blurRad="114300">
              <a:schemeClr val="accent6">
                <a:tint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tint val="65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shade val="65000"/>
              <a:alpha val="90000"/>
            </a:schemeClr>
          </a:solidFill>
          <a:ln w="19050">
            <a:solidFill>
              <a:schemeClr val="accent6">
                <a:shade val="65000"/>
                <a:lumMod val="75000"/>
              </a:schemeClr>
            </a:solidFill>
          </a:ln>
          <a:effectLst>
            <a:innerShdw blurRad="114300">
              <a:schemeClr val="accent6">
                <a:shade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shade val="65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86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86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tint val="65000"/>
              <a:alpha val="90000"/>
            </a:schemeClr>
          </a:solidFill>
          <a:ln w="19050">
            <a:solidFill>
              <a:schemeClr val="accent6">
                <a:tint val="65000"/>
                <a:lumMod val="75000"/>
              </a:schemeClr>
            </a:solidFill>
          </a:ln>
          <a:effectLst>
            <a:innerShdw blurRad="114300">
              <a:schemeClr val="accent6">
                <a:tint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tint val="65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shade val="65000"/>
              <a:alpha val="90000"/>
            </a:schemeClr>
          </a:solidFill>
          <a:ln w="19050">
            <a:solidFill>
              <a:schemeClr val="accent6">
                <a:shade val="65000"/>
                <a:lumMod val="75000"/>
              </a:schemeClr>
            </a:solidFill>
          </a:ln>
          <a:effectLst>
            <a:innerShdw blurRad="114300">
              <a:schemeClr val="accent6">
                <a:shade val="65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shade val="65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70AD47">
                  <a:shade val="58000"/>
                </a:srgbClr>
              </a:solidFill>
              <a:round/>
            </a:ln>
            <a:effectLst>
              <a:outerShdw blurRad="50800" dist="38100" dir="2700000" algn="tl" rotWithShape="0">
                <a:srgbClr val="70AD47">
                  <a:shade val="58000"/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'1_client_categories'!$C$2:$C$4</c:f>
              <c:strCache>
                <c:ptCount val="1"/>
                <c:pt idx="0">
                  <c:v>Total LTV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  <a:alpha val="90000"/>
                </a:schemeClr>
              </a:solidFill>
              <a:ln w="19050">
                <a:solidFill>
                  <a:schemeClr val="accent6">
                    <a:tint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tint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tint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D58-430B-A67B-C91E25FADC65}"/>
              </c:ext>
            </c:extLst>
          </c:dPt>
          <c:dPt>
            <c:idx val="1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58-430B-A67B-C91E25FADC65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  <a:alpha val="90000"/>
                </a:schemeClr>
              </a:solidFill>
              <a:ln w="19050">
                <a:solidFill>
                  <a:schemeClr val="accent6">
                    <a:shade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shade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shade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58-430B-A67B-C91E25FADC6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E3C5139-E966-4524-A370-8BFAA82433D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535CFA1-A734-4EF4-98A8-C3F3E5316508}" type="CATEGORYNAME">
                      <a:rPr lang="en-US" baseline="0"/>
                      <a:pPr/>
                      <a:t>[CATEGORY NAME]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D58-430B-A67B-C91E25FADC65}"/>
                </c:ext>
              </c:extLst>
            </c:dLbl>
            <c:dLbl>
              <c:idx val="1"/>
              <c:layout>
                <c:manualLayout>
                  <c:x val="-0.12248756290093009"/>
                  <c:y val="8.6124384359352157E-2"/>
                </c:manualLayout>
              </c:layout>
              <c:tx>
                <c:rich>
                  <a:bodyPr/>
                  <a:lstStyle/>
                  <a:p>
                    <a:fld id="{F9414038-5811-44CF-8FB2-E203A8B6D34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F0B9FD2-44BB-48CF-9E55-1150D080690A}" type="CATEGORYNAME">
                      <a:rPr lang="en-US" baseline="0"/>
                      <a:pPr/>
                      <a:t>[CATEGORY NAME]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D58-430B-A67B-C91E25FADC65}"/>
                </c:ext>
              </c:extLst>
            </c:dLbl>
            <c:dLbl>
              <c:idx val="2"/>
              <c:layout>
                <c:manualLayout>
                  <c:x val="0.17259930485250893"/>
                  <c:y val="-0.11530384324130766"/>
                </c:manualLayout>
              </c:layout>
              <c:tx>
                <c:rich>
                  <a:bodyPr/>
                  <a:lstStyle/>
                  <a:p>
                    <a:fld id="{893219EF-8851-432C-94D0-611A00F690A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B7E6961-6DAF-4CA1-A70B-9D65C5B8A88D}" type="CATEGORYNAME">
                      <a:rPr lang="en-US" baseline="0"/>
                      <a:pPr/>
                      <a:t>[CATEGORY NAME]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D58-430B-A67B-C91E25FADC65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70AD47">
                    <a:tint val="58000"/>
                  </a:srgbClr>
                </a:solidFill>
                <a:round/>
              </a:ln>
              <a:effectLst>
                <a:outerShdw blurRad="50800" dist="38100" dir="2700000" algn="tl" rotWithShape="0">
                  <a:srgbClr val="70AD47">
                    <a:tint val="58000"/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tint val="58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'1_client_categories'!$C$2:$C$4</c:f>
              <c:strCache>
                <c:ptCount val="3"/>
                <c:pt idx="0">
                  <c:v>1 - Low LTV</c:v>
                </c:pt>
                <c:pt idx="1">
                  <c:v>2 - Medium LTV</c:v>
                </c:pt>
                <c:pt idx="2">
                  <c:v>3 - High LTV</c:v>
                </c:pt>
              </c:strCache>
            </c:strRef>
          </c:cat>
          <c:val>
            <c:numRef>
              <c:f>'1_client_categories'!$C$2:$C$4</c:f>
              <c:numCache>
                <c:formatCode>_("$"* #,##0_);_("$"* \(#,##0\);_("$"* "-"??_);_(@_)</c:formatCode>
                <c:ptCount val="3"/>
                <c:pt idx="0">
                  <c:v>4341809.5273281401</c:v>
                </c:pt>
                <c:pt idx="1">
                  <c:v>66636451.787238859</c:v>
                </c:pt>
                <c:pt idx="2">
                  <c:v>135429277.26549876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'1_client_categories'!$C$2:$C$4</c15:f>
                <c15:dlblRangeCache>
                  <c:ptCount val="3"/>
                  <c:pt idx="0">
                    <c:v>2%</c:v>
                  </c:pt>
                  <c:pt idx="1">
                    <c:v>32%</c:v>
                  </c:pt>
                  <c:pt idx="2">
                    <c:v>66%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D58-430B-A67B-C91E25FADC65}"/>
            </c:ext>
          </c:extLst>
        </c:ser>
        <c:ser>
          <c:idx val="1"/>
          <c:order val="1"/>
          <c:tx>
            <c:strRef>
              <c:f>'1_client_categories'!$C$2:$C$4</c:f>
              <c:strCache>
                <c:ptCount val="1"/>
                <c:pt idx="0">
                  <c:v>LTV 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  <a:alpha val="90000"/>
                </a:schemeClr>
              </a:solidFill>
              <a:ln w="19050">
                <a:solidFill>
                  <a:schemeClr val="accent6">
                    <a:tint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tint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tint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D58-430B-A67B-C91E25FADC65}"/>
              </c:ext>
            </c:extLst>
          </c:dPt>
          <c:dPt>
            <c:idx val="1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58-430B-A67B-C91E25FADC65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  <a:alpha val="90000"/>
                </a:schemeClr>
              </a:solidFill>
              <a:ln w="19050">
                <a:solidFill>
                  <a:schemeClr val="accent6">
                    <a:shade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shade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shade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D58-430B-A67B-C91E25FADC65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70AD47">
                    <a:tint val="86000"/>
                  </a:srgbClr>
                </a:solidFill>
                <a:round/>
              </a:ln>
              <a:effectLst>
                <a:outerShdw blurRad="50800" dist="38100" dir="2700000" algn="tl" rotWithShape="0">
                  <a:srgbClr val="70AD47">
                    <a:tint val="86000"/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tint val="86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'1_client_categories'!$C$2:$C$4</c:f>
              <c:strCache>
                <c:ptCount val="3"/>
                <c:pt idx="0">
                  <c:v>1 - Low LTV</c:v>
                </c:pt>
                <c:pt idx="1">
                  <c:v>2 - Medium LTV</c:v>
                </c:pt>
                <c:pt idx="2">
                  <c:v>3 - High LTV</c:v>
                </c:pt>
              </c:strCache>
            </c:strRef>
          </c:cat>
          <c:val>
            <c:numRef>
              <c:f>'1_client_categories'!$C$2:$C$4</c:f>
              <c:numCache>
                <c:formatCode>0%</c:formatCode>
                <c:ptCount val="3"/>
                <c:pt idx="0">
                  <c:v>2.1035130582907412E-2</c:v>
                </c:pt>
                <c:pt idx="1">
                  <c:v>0.32283923467936293</c:v>
                </c:pt>
                <c:pt idx="2">
                  <c:v>0.65612563473773933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8-430B-A67B-C91E25FADC65}"/>
            </c:ext>
          </c:extLst>
        </c:ser>
        <c:ser>
          <c:idx val="2"/>
          <c:order val="2"/>
          <c:tx>
            <c:strRef>
              <c:f>'1_client_categories'!$C$2:$C$4</c:f>
              <c:strCache>
                <c:ptCount val="1"/>
                <c:pt idx="0">
                  <c:v>Client Count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  <a:alpha val="90000"/>
                </a:schemeClr>
              </a:solidFill>
              <a:ln w="19050">
                <a:solidFill>
                  <a:schemeClr val="accent6">
                    <a:tint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tint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tint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D58-430B-A67B-C91E25FADC65}"/>
              </c:ext>
            </c:extLst>
          </c:dPt>
          <c:dPt>
            <c:idx val="1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0D58-430B-A67B-C91E25FADC65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  <a:alpha val="90000"/>
                </a:schemeClr>
              </a:solidFill>
              <a:ln w="19050">
                <a:solidFill>
                  <a:schemeClr val="accent6">
                    <a:shade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shade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shade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D58-430B-A67B-C91E25FADC65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70AD47">
                    <a:shade val="86000"/>
                  </a:srgbClr>
                </a:solidFill>
                <a:round/>
              </a:ln>
              <a:effectLst>
                <a:outerShdw blurRad="50800" dist="38100" dir="2700000" algn="tl" rotWithShape="0">
                  <a:srgbClr val="70AD47">
                    <a:shade val="86000"/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shade val="86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'1_client_categories'!$C$2:$C$4</c:f>
              <c:strCache>
                <c:ptCount val="3"/>
                <c:pt idx="0">
                  <c:v>1 - Low LTV</c:v>
                </c:pt>
                <c:pt idx="1">
                  <c:v>2 - Medium LTV</c:v>
                </c:pt>
                <c:pt idx="2">
                  <c:v>3 - High LTV</c:v>
                </c:pt>
              </c:strCache>
            </c:strRef>
          </c:cat>
          <c:val>
            <c:numRef>
              <c:f>'1_client_categories'!$C$2:$C$4</c:f>
              <c:numCache>
                <c:formatCode>_(* #,##0_);_(* \(#,##0\);_(* "-"??_);_(@_)</c:formatCode>
                <c:ptCount val="3"/>
                <c:pt idx="0">
                  <c:v>12372</c:v>
                </c:pt>
                <c:pt idx="1">
                  <c:v>24743</c:v>
                </c:pt>
                <c:pt idx="2">
                  <c:v>12372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8-430B-A67B-C91E25FADC65}"/>
            </c:ext>
          </c:extLst>
        </c:ser>
        <c:ser>
          <c:idx val="3"/>
          <c:order val="3"/>
          <c:tx>
            <c:strRef>
              <c:f>'1_client_categories'!$C$2:$C$4</c:f>
              <c:strCache>
                <c:ptCount val="1"/>
                <c:pt idx="0">
                  <c:v>Average LTV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  <a:alpha val="90000"/>
                </a:schemeClr>
              </a:solidFill>
              <a:ln w="19050">
                <a:solidFill>
                  <a:schemeClr val="accent6">
                    <a:tint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tint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tint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0D58-430B-A67B-C91E25FADC65}"/>
              </c:ext>
            </c:extLst>
          </c:dPt>
          <c:dPt>
            <c:idx val="1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D58-430B-A67B-C91E25FADC65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  <a:alpha val="90000"/>
                </a:schemeClr>
              </a:solidFill>
              <a:ln w="19050">
                <a:solidFill>
                  <a:schemeClr val="accent6">
                    <a:shade val="65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shade val="65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shade val="65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0D58-430B-A67B-C91E25FADC65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70AD47">
                    <a:shade val="58000"/>
                  </a:srgbClr>
                </a:solidFill>
                <a:round/>
              </a:ln>
              <a:effectLst>
                <a:outerShdw blurRad="50800" dist="38100" dir="2700000" algn="tl" rotWithShape="0">
                  <a:srgbClr val="70AD47">
                    <a:shade val="58000"/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shade val="58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'1_client_categories'!$C$2:$C$4</c:f>
              <c:strCache>
                <c:ptCount val="3"/>
                <c:pt idx="0">
                  <c:v>1 - Low LTV</c:v>
                </c:pt>
                <c:pt idx="1">
                  <c:v>2 - Medium LTV</c:v>
                </c:pt>
                <c:pt idx="2">
                  <c:v>3 - High LTV</c:v>
                </c:pt>
              </c:strCache>
            </c:strRef>
          </c:cat>
          <c:val>
            <c:numRef>
              <c:f>'1_client_categories'!$C$2:$C$4</c:f>
              <c:numCache>
                <c:formatCode>_(* #,##0_);_(* \(#,##0\);_(* "-"??_);_(@_)</c:formatCode>
                <c:ptCount val="3"/>
                <c:pt idx="0">
                  <c:v>350.93837110638054</c:v>
                </c:pt>
                <c:pt idx="1">
                  <c:v>2693.1435875697716</c:v>
                </c:pt>
                <c:pt idx="2">
                  <c:v>10946.433661938147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58-430B-A67B-C91E25FADC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What is the Trend in Average Client Revenue by Cohort Year?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'2.1_client_revenue_by_cohort'!$I$9</c:f>
              <c:strCache>
                <c:ptCount val="1"/>
                <c:pt idx="0">
                  <c:v>Average Client Revenue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31750" cap="rnd">
                <a:solidFill>
                  <a:schemeClr val="accent5">
                    <a:lumMod val="50000"/>
                  </a:schemeClr>
                </a:solidFill>
                <a:prstDash val="dash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'2.1_client_revenue_by_cohort'!$H$10:$H$19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'2.1_client_revenue_by_cohort'!$I$10:$I$19</c:f>
              <c:numCache>
                <c:formatCode>General</c:formatCode>
                <c:ptCount val="10"/>
                <c:pt idx="0">
                  <c:v>5271.5860070330664</c:v>
                </c:pt>
                <c:pt idx="1">
                  <c:v>5404.9225017375866</c:v>
                </c:pt>
                <c:pt idx="2">
                  <c:v>5403.0811121156494</c:v>
                </c:pt>
                <c:pt idx="3">
                  <c:v>4896.6405350206023</c:v>
                </c:pt>
                <c:pt idx="4">
                  <c:v>4731.9463412740688</c:v>
                </c:pt>
                <c:pt idx="5">
                  <c:v>3933.3226554207999</c:v>
                </c:pt>
                <c:pt idx="6">
                  <c:v>3943.327510054819</c:v>
                </c:pt>
                <c:pt idx="7">
                  <c:v>3315.5170142913144</c:v>
                </c:pt>
                <c:pt idx="8">
                  <c:v>2543.1796830373401</c:v>
                </c:pt>
                <c:pt idx="9">
                  <c:v>2037.5530153657614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B-431A-9218-5FC1FB6E5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68103"/>
        <c:axId val="11768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'2.1_client_revenue_by_cohort'!$H$9</c15:sqref>
                        </c15:formulaRef>
                      </c:ext>
                    </c:extLst>
                    <c:strCache>
                      <c:ptCount val="1"/>
                      <c:pt idx="0">
                        <c:v>Cohort Year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'2.1_client_revenue_by_cohort'!$H$10:$H$19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'2.1_client_revenue_by_cohort'!$H$10:$H$19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ECB-431A-9218-5FC1FB6E56EC}"/>
                  </c:ext>
                </c:extLst>
              </c15:ser>
            </c15:filteredBarSeries>
          </c:ext>
        </c:extLst>
      </c:barChart>
      <c:catAx>
        <c:axId val="1176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463"/>
        <c:crosses val="autoZero"/>
        <c:auto val="1"/>
        <c:lblAlgn val="ctr"/>
        <c:lblOffset val="100"/>
        <c:noMultiLvlLbl val="0"/>
      </c:catAx>
      <c:valAx>
        <c:axId val="1176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 the total client revenue by the year of their first order?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'2.2_Revenue_by_year_since_1ord'!$F$5</c:f>
              <c:strCache>
                <c:ptCount val="1"/>
                <c:pt idx="0">
                  <c:v>Total Revenue Percentage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'2.2_Revenue_by_year_since_1ord'!$E$6:$E$15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'2.2_Revenue_by_year_since_1ord'!$F$6:$F$15</c:f>
              <c:numCache>
                <c:formatCode>0.00%</c:formatCode>
                <c:ptCount val="10"/>
                <c:pt idx="0">
                  <c:v>0.70334671734600518</c:v>
                </c:pt>
                <c:pt idx="1">
                  <c:v>6.4050876711221699E-2</c:v>
                </c:pt>
                <c:pt idx="2">
                  <c:v>5.5603734763692098E-2</c:v>
                </c:pt>
                <c:pt idx="3">
                  <c:v>6.1012917246106364E-2</c:v>
                </c:pt>
                <c:pt idx="4">
                  <c:v>4.724886196297344E-2</c:v>
                </c:pt>
                <c:pt idx="5">
                  <c:v>3.2965477688174399E-2</c:v>
                </c:pt>
                <c:pt idx="6">
                  <c:v>1.9826889678200777E-2</c:v>
                </c:pt>
                <c:pt idx="7">
                  <c:v>1.1379613335113838E-2</c:v>
                </c:pt>
                <c:pt idx="8">
                  <c:v>4.3344501944302012E-3</c:v>
                </c:pt>
                <c:pt idx="9">
                  <c:v>2.3046107408172567E-4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2-4606-9B5E-EBB291B54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16064"/>
        <c:axId val="1633423624"/>
      </c:scatterChart>
      <c:valAx>
        <c:axId val="16334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Since First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23624"/>
        <c:crosses val="autoZero"/>
        <c:crossBetween val="midCat"/>
      </c:valAx>
      <c:valAx>
        <c:axId val="163342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1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What is the Trend in </a:t>
            </a: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</a:t>
            </a:r>
            <a:r>
              <a:rPr lang="en-US" sz="1600" b="1" i="0" u="none" strike="noStrike" baseline="0"/>
              <a:t>Client Revenue Only During their Cohort Year?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'2.3_client_revenue_1st_cohort'!$I$9</c:f>
              <c:strCache>
                <c:ptCount val="1"/>
                <c:pt idx="0">
                  <c:v>Average Client Revenue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31750" cap="rnd">
                <a:solidFill>
                  <a:srgbClr val="FF0000"/>
                </a:solidFill>
                <a:prstDash val="dash"/>
              </a:ln>
              <a:effectLst/>
            </c:spPr>
            <c:trendlineType val="poly"/>
            <c:order val="2"/>
            <c:dispRSqr val="0"/>
            <c:dispEq val="0"/>
          </c:trendline>
          <c:cat>
            <c:numRef>
              <c:f>'2.3_client_revenue_1st_cohort'!$H$10:$H$19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'2.3_client_revenue_1st_cohort'!$I$10:$I$19</c:f>
              <c:numCache>
                <c:formatCode>General</c:formatCode>
                <c:ptCount val="10"/>
                <c:pt idx="0">
                  <c:v>2564.8187530570931</c:v>
                </c:pt>
                <c:pt idx="1">
                  <c:v>2896.41870492303</c:v>
                </c:pt>
                <c:pt idx="2">
                  <c:v>2893.6814931014183</c:v>
                </c:pt>
                <c:pt idx="3">
                  <c:v>2655.6232279673332</c:v>
                </c:pt>
                <c:pt idx="4">
                  <c:v>2868.4794605239217</c:v>
                </c:pt>
                <c:pt idx="5">
                  <c:v>2328.8071670348031</c:v>
                </c:pt>
                <c:pt idx="6">
                  <c:v>2567.8924220131553</c:v>
                </c:pt>
                <c:pt idx="7">
                  <c:v>2387.0759767117838</c:v>
                </c:pt>
                <c:pt idx="8">
                  <c:v>2188.5536230560747</c:v>
                </c:pt>
                <c:pt idx="9">
                  <c:v>1972.0254357059951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8-4C8C-A0D4-3C98BFACF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0517424"/>
        <c:axId val="940517784"/>
      </c:barChart>
      <c:catAx>
        <c:axId val="94051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17784"/>
        <c:crosses val="autoZero"/>
        <c:auto val="1"/>
        <c:lblAlgn val="ctr"/>
        <c:lblOffset val="100"/>
        <c:noMultiLvlLbl val="0"/>
      </c:catAx>
      <c:valAx>
        <c:axId val="94051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1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How many clients made a purchase in the past 6 months?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'3_active_clients'!$F$2</c:f>
              <c:strCache>
                <c:ptCount val="1"/>
                <c:pt idx="0">
                  <c:v>Active</c:v>
                </c:pt>
              </c:strCache>
            </c:strRef>
          </c:tx>
          <c:spPr>
            <a:pattFill prst="ltUpDiag">
              <a:fgClr>
                <a:schemeClr val="accent4">
                  <a:shade val="76000"/>
                </a:schemeClr>
              </a:fgClr>
              <a:bgClr>
                <a:schemeClr val="accent4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shade val="76000"/>
                </a:schemeClr>
              </a:innerShdw>
            </a:effectLst>
          </c:spPr>
          <c:cat>
            <c:numRef>
              <c:f>'3_active_clients'!$E$3:$E$11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'3_active_clients'!$F$3:$F$11</c:f>
              <c:numCache>
                <c:formatCode>General</c:formatCode>
                <c:ptCount val="9"/>
                <c:pt idx="0">
                  <c:v>237</c:v>
                </c:pt>
                <c:pt idx="1">
                  <c:v>311</c:v>
                </c:pt>
                <c:pt idx="2">
                  <c:v>385</c:v>
                </c:pt>
                <c:pt idx="3">
                  <c:v>704</c:v>
                </c:pt>
                <c:pt idx="4">
                  <c:v>687</c:v>
                </c:pt>
                <c:pt idx="5">
                  <c:v>283</c:v>
                </c:pt>
                <c:pt idx="6">
                  <c:v>442</c:v>
                </c:pt>
                <c:pt idx="7">
                  <c:v>937</c:v>
                </c:pt>
                <c:pt idx="8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7-4294-B9E9-AA9026D60D72}"/>
            </c:ext>
          </c:extLst>
        </c:ser>
        <c:ser>
          <c:idx val="1"/>
          <c:order val="1"/>
          <c:tx>
            <c:strRef>
              <c:f>'3_active_clients'!$G$2</c:f>
              <c:strCache>
                <c:ptCount val="1"/>
                <c:pt idx="0">
                  <c:v>Churned</c:v>
                </c:pt>
              </c:strCache>
            </c:strRef>
          </c:tx>
          <c:spPr>
            <a:pattFill prst="ltUpDiag">
              <a:fgClr>
                <a:schemeClr val="accent4">
                  <a:tint val="77000"/>
                </a:schemeClr>
              </a:fgClr>
              <a:bgClr>
                <a:schemeClr val="accent4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tint val="77000"/>
                </a:schemeClr>
              </a:innerShdw>
            </a:effectLst>
          </c:spPr>
          <c:cat>
            <c:numRef>
              <c:f>'3_active_clients'!$E$3:$E$11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'3_active_clients'!$G$3:$G$11</c:f>
              <c:numCache>
                <c:formatCode>General</c:formatCode>
                <c:ptCount val="9"/>
                <c:pt idx="0">
                  <c:v>2588</c:v>
                </c:pt>
                <c:pt idx="1">
                  <c:v>3086</c:v>
                </c:pt>
                <c:pt idx="2">
                  <c:v>3683</c:v>
                </c:pt>
                <c:pt idx="3">
                  <c:v>6742</c:v>
                </c:pt>
                <c:pt idx="4">
                  <c:v>7068</c:v>
                </c:pt>
                <c:pt idx="5">
                  <c:v>2748</c:v>
                </c:pt>
                <c:pt idx="6">
                  <c:v>4221</c:v>
                </c:pt>
                <c:pt idx="7">
                  <c:v>8073</c:v>
                </c:pt>
                <c:pt idx="8">
                  <c:v>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7-4294-B9E9-AA9026D6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420703"/>
        <c:axId val="227422863"/>
      </c:areaChart>
      <c:catAx>
        <c:axId val="227420703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22863"/>
        <c:crosses val="autoZero"/>
        <c:auto val="1"/>
        <c:lblAlgn val="ctr"/>
        <c:lblOffset val="100"/>
        <c:noMultiLvlLbl val="0"/>
      </c:catAx>
      <c:valAx>
        <c:axId val="2274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Client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20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49530</xdr:rowOff>
    </xdr:from>
    <xdr:to>
      <xdr:col>5</xdr:col>
      <xdr:colOff>58616</xdr:colOff>
      <xdr:row>20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8399E6-B6AE-2A23-DF98-939756F37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68579</xdr:colOff>
      <xdr:row>0</xdr:row>
      <xdr:rowOff>11431</xdr:rowOff>
    </xdr:from>
    <xdr:to>
      <xdr:col>12</xdr:col>
      <xdr:colOff>377686</xdr:colOff>
      <xdr:row>22</xdr:row>
      <xdr:rowOff>178905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032148-BAE2-9300-4BEA-793777BA4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34290</xdr:rowOff>
    </xdr:from>
    <xdr:to>
      <xdr:col>11</xdr:col>
      <xdr:colOff>231913</xdr:colOff>
      <xdr:row>22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AA5903-3D06-99EC-EAF3-5A690038D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</xdr:colOff>
      <xdr:row>0</xdr:row>
      <xdr:rowOff>34288</xdr:rowOff>
    </xdr:from>
    <xdr:to>
      <xdr:col>12</xdr:col>
      <xdr:colOff>238539</xdr:colOff>
      <xdr:row>22</xdr:row>
      <xdr:rowOff>172277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46556-A92F-DD5B-21F0-3405465A3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56983</xdr:colOff>
      <xdr:row>0</xdr:row>
      <xdr:rowOff>37271</xdr:rowOff>
    </xdr:from>
    <xdr:to>
      <xdr:col>14</xdr:col>
      <xdr:colOff>79512</xdr:colOff>
      <xdr:row>21</xdr:row>
      <xdr:rowOff>178904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31129-6556-40D8-597F-F5D68353D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mian Voropaev" refreshedDate="45875.578183333331" backgroundQuery="1" createdVersion="8" refreshedVersion="8" minRefreshableVersion="3" recordCount="0" supportSubquery="1" supportAdvancedDrill="1" xr:uid="{5BAB122E-CC3E-4A2D-A37C-6FCA8029067D}">
  <cacheSource type="external" connectionId="6"/>
  <cacheFields count="5">
    <cacheField name="[1_client_categories].[ltv_category].[ltv_category]" caption="ltv_category" numFmtId="0" level="1">
      <sharedItems count="3">
        <s v="1 - Low LTV"/>
        <s v="2 - Medium LTV"/>
        <s v="3 - High LTV"/>
      </sharedItems>
    </cacheField>
    <cacheField name="[Measures].[Sum of total_ltv]" caption="Sum of total_ltv" numFmtId="0" hierarchy="29" level="32767"/>
    <cacheField name="[Measures].[Sum of customer_count]" caption="Sum of customer_count" numFmtId="0" hierarchy="31" level="32767"/>
    <cacheField name="[Measures].[Sum of avg_ltv]" caption="Sum of avg_ltv" numFmtId="0" hierarchy="32" level="32767"/>
    <cacheField name="[Measures].[Sum of ltc_percentage]" caption="Sum of ltc_percentage" numFmtId="0" hierarchy="33" level="32767"/>
  </cacheFields>
  <cacheHierarchies count="45">
    <cacheHierarchy uniqueName="[1_client_categories].[ltv_category]" caption="ltv_category" attribute="1" defaultMemberUniqueName="[1_client_categories].[ltv_category].[All]" allUniqueName="[1_client_categories].[ltv_category].[All]" dimensionUniqueName="[1_client_categories]" displayFolder="" count="2" memberValueDatatype="130" unbalanced="0">
      <fieldsUsage count="2">
        <fieldUsage x="-1"/>
        <fieldUsage x="0"/>
      </fieldsUsage>
    </cacheHierarchy>
    <cacheHierarchy uniqueName="[1_client_categories].[total_ltv]" caption="total_ltv" attribute="1" defaultMemberUniqueName="[1_client_categories].[total_ltv].[All]" allUniqueName="[1_client_categories].[total_ltv].[All]" dimensionUniqueName="[1_client_categories]" displayFolder="" count="0" memberValueDatatype="5" unbalanced="0"/>
    <cacheHierarchy uniqueName="[1_client_categories].[ltv_pctg]" caption="ltv_pctg" attribute="1" defaultMemberUniqueName="[1_client_categories].[ltv_pctg].[All]" allUniqueName="[1_client_categories].[ltv_pctg].[All]" dimensionUniqueName="[1_client_categories]" displayFolder="" count="0" memberValueDatatype="5" unbalanced="0"/>
    <cacheHierarchy uniqueName="[1_client_categories].[customer_count]" caption="customer_count" attribute="1" defaultMemberUniqueName="[1_client_categories].[customer_count].[All]" allUniqueName="[1_client_categories].[customer_count].[All]" dimensionUniqueName="[1_client_categories]" displayFolder="" count="0" memberValueDatatype="20" unbalanced="0"/>
    <cacheHierarchy uniqueName="[1_client_categories].[avg_ltv]" caption="avg_ltv" attribute="1" defaultMemberUniqueName="[1_client_categories].[avg_ltv].[All]" allUniqueName="[1_client_categories].[avg_ltv].[All]" dimensionUniqueName="[1_client_categories]" displayFolder="" count="0" memberValueDatatype="5" unbalanced="0"/>
    <cacheHierarchy uniqueName="[1_client_categories].[category_cleaned]" caption="category_cleaned" attribute="1" defaultMemberUniqueName="[1_client_categories].[category_cleaned].[All]" allUniqueName="[1_client_categories].[category_cleaned].[All]" dimensionUniqueName="[1_client_categories]" displayFolder="" count="0" memberValueDatatype="130" unbalanced="0"/>
    <cacheHierarchy uniqueName="[1_client_categories].[ltc_percentage]" caption="ltc_percentage" attribute="1" defaultMemberUniqueName="[1_client_categories].[ltc_percentage].[All]" allUniqueName="[1_client_categories].[ltc_percentage].[All]" dimensionUniqueName="[1_client_categories]" displayFolder="" count="0" memberValueDatatype="5" unbalanced="0"/>
    <cacheHierarchy uniqueName="[2 1_client_revenue_by_cohort].[cohort_year]" caption="cohort_year" attribute="1" defaultMemberUniqueName="[2 1_client_revenue_by_cohort].[cohort_year].[All]" allUniqueName="[2 1_client_revenue_by_cohort].[cohort_year].[All]" dimensionUniqueName="[2 1_client_revenue_by_cohort]" displayFolder="" count="0" memberValueDatatype="20" unbalanced="0"/>
    <cacheHierarchy uniqueName="[2 1_client_revenue_by_cohort].[client_total_revenue]" caption="client_total_revenue" attribute="1" defaultMemberUniqueName="[2 1_client_revenue_by_cohort].[client_total_revenue].[All]" allUniqueName="[2 1_client_revenue_by_cohort].[client_total_revenue].[All]" dimensionUniqueName="[2 1_client_revenue_by_cohort]" displayFolder="" count="0" memberValueDatatype="5" unbalanced="0"/>
    <cacheHierarchy uniqueName="[2 1_client_revenue_by_cohort].[client_count]" caption="client_count" attribute="1" defaultMemberUniqueName="[2 1_client_revenue_by_cohort].[client_count].[All]" allUniqueName="[2 1_client_revenue_by_cohort].[client_count].[All]" dimensionUniqueName="[2 1_client_revenue_by_cohort]" displayFolder="" count="0" memberValueDatatype="20" unbalanced="0"/>
    <cacheHierarchy uniqueName="[2 1_client_revenue_by_cohort].[avg_client_revenue]" caption="avg_client_revenue" attribute="1" defaultMemberUniqueName="[2 1_client_revenue_by_cohort].[avg_client_revenue].[All]" allUniqueName="[2 1_client_revenue_by_cohort].[avg_client_revenue].[All]" dimensionUniqueName="[2 1_client_revenue_by_cohort]" displayFolder="" count="0" memberValueDatatype="5" unbalanced="0"/>
    <cacheHierarchy uniqueName="[2 2_Annual_Revenue_by_Client_Cohort].[years_since_first_order]" caption="years_since_first_order" attribute="1" defaultMemberUniqueName="[2 2_Annual_Revenue_by_Client_Cohort].[years_since_first_order].[All]" allUniqueName="[2 2_Annual_Revenue_by_Client_Cohort].[years_since_first_order].[All]" dimensionUniqueName="[2 2_Annual_Revenue_by_Client_Cohort]" displayFolder="" count="0" memberValueDatatype="20" unbalanced="0"/>
    <cacheHierarchy uniqueName="[2 2_Annual_Revenue_by_Client_Cohort].[client_total_revenue]" caption="client_total_revenue" attribute="1" defaultMemberUniqueName="[2 2_Annual_Revenue_by_Client_Cohort].[client_total_revenue].[All]" allUniqueName="[2 2_Annual_Revenue_by_Client_Cohort].[client_total_revenue].[All]" dimensionUniqueName="[2 2_Annual_Revenue_by_Client_Cohort]" displayFolder="" count="0" memberValueDatatype="5" unbalanced="0"/>
    <cacheHierarchy uniqueName="[2 2_Annual_Revenue_by_Client_Cohort].[total_revenue_percentage]" caption="total_revenue_percentage" attribute="1" defaultMemberUniqueName="[2 2_Annual_Revenue_by_Client_Cohort].[total_revenue_percentage].[All]" allUniqueName="[2 2_Annual_Revenue_by_Client_Cohort].[total_revenue_percentage].[All]" dimensionUniqueName="[2 2_Annual_Revenue_by_Client_Cohort]" displayFolder="" count="0" memberValueDatatype="5" unbalanced="0"/>
    <cacheHierarchy uniqueName="[2 2_Annual_Revenue_by_Client_Cohort].[Revenue Percentage]" caption="Revenue Percentage" attribute="1" defaultMemberUniqueName="[2 2_Annual_Revenue_by_Client_Cohort].[Revenue Percentage].[All]" allUniqueName="[2 2_Annual_Revenue_by_Client_Cohort].[Revenue Percentage].[All]" dimensionUniqueName="[2 2_Annual_Revenue_by_Client_Cohort]" displayFolder="" count="0" memberValueDatatype="5" unbalanced="0"/>
    <cacheHierarchy uniqueName="[2 3_Cohort_client_revenue_filtered].[cohort_year]" caption="cohort_year" attribute="1" defaultMemberUniqueName="[2 3_Cohort_client_revenue_filtered].[cohort_year].[All]" allUniqueName="[2 3_Cohort_client_revenue_filtered].[cohort_year].[All]" dimensionUniqueName="[2 3_Cohort_client_revenue_filtered]" displayFolder="" count="0" memberValueDatatype="20" unbalanced="0"/>
    <cacheHierarchy uniqueName="[2 3_Cohort_client_revenue_filtered].[cohort_profit]" caption="cohort_profit" attribute="1" defaultMemberUniqueName="[2 3_Cohort_client_revenue_filtered].[cohort_profit].[All]" allUniqueName="[2 3_Cohort_client_revenue_filtered].[cohort_profit].[All]" dimensionUniqueName="[2 3_Cohort_client_revenue_filtered]" displayFolder="" count="0" memberValueDatatype="5" unbalanced="0"/>
    <cacheHierarchy uniqueName="[2 3_Cohort_client_revenue_filtered].[customer_count]" caption="customer_count" attribute="1" defaultMemberUniqueName="[2 3_Cohort_client_revenue_filtered].[customer_count].[All]" allUniqueName="[2 3_Cohort_client_revenue_filtered].[customer_count].[All]" dimensionUniqueName="[2 3_Cohort_client_revenue_filtered]" displayFolder="" count="0" memberValueDatatype="20" unbalanced="0"/>
    <cacheHierarchy uniqueName="[2 3_Cohort_client_revenue_filtered].[customer_revenue]" caption="customer_revenue" attribute="1" defaultMemberUniqueName="[2 3_Cohort_client_revenue_filtered].[customer_revenue].[All]" allUniqueName="[2 3_Cohort_client_revenue_filtered].[customer_revenue].[All]" dimensionUniqueName="[2 3_Cohort_client_revenue_filtered]" displayFolder="" count="0" memberValueDatatype="5" unbalanced="0"/>
    <cacheHierarchy uniqueName="[3_active_clients].[client_status]" caption="client_status" attribute="1" defaultMemberUniqueName="[3_active_clients].[client_status].[All]" allUniqueName="[3_active_clients].[client_status].[All]" dimensionUniqueName="[3_active_clients]" displayFolder="" count="0" memberValueDatatype="130" unbalanced="0"/>
    <cacheHierarchy uniqueName="[3_active_clients].[cohort_year]" caption="cohort_year" attribute="1" defaultMemberUniqueName="[3_active_clients].[cohort_year].[All]" allUniqueName="[3_active_clients].[cohort_year].[All]" dimensionUniqueName="[3_active_clients]" displayFolder="" count="0" memberValueDatatype="20" unbalanced="0"/>
    <cacheHierarchy uniqueName="[3_active_clients].[total_clients]" caption="total_clients" attribute="1" defaultMemberUniqueName="[3_active_clients].[total_clients].[All]" allUniqueName="[3_active_clients].[total_clients].[All]" dimensionUniqueName="[3_active_clients]" displayFolder="" count="0" memberValueDatatype="20" unbalanced="0"/>
    <cacheHierarchy uniqueName="[3_active_clients].[active_rate]" caption="active_rate" attribute="1" defaultMemberUniqueName="[3_active_clients].[active_rate].[All]" allUniqueName="[3_active_clients].[active_rate].[All]" dimensionUniqueName="[3_active_clients]" displayFolder="" count="0" memberValueDatatype="5" unbalanced="0"/>
    <cacheHierarchy uniqueName="[Measures].[__XL_Count 1_client_categories]" caption="__XL_Count 1_client_categories" measure="1" displayFolder="" measureGroup="1_client_categories" count="0" hidden="1"/>
    <cacheHierarchy uniqueName="[Measures].[__XL_Count 2 1_client_revenue_by_cohort]" caption="__XL_Count 2 1_client_revenue_by_cohort" measure="1" displayFolder="" measureGroup="2 1_client_revenue_by_cohort" count="0" hidden="1"/>
    <cacheHierarchy uniqueName="[Measures].[__XL_Count 2 2_Annual_Revenue_by_Client_Cohort]" caption="__XL_Count 2 2_Annual_Revenue_by_Client_Cohort" measure="1" displayFolder="" measureGroup="2 2_Annual_Revenue_by_Client_Cohort" count="0" hidden="1"/>
    <cacheHierarchy uniqueName="[Measures].[__XL_Count 2 3_Cohort_client_revenue_filtered]" caption="__XL_Count 2 3_Cohort_client_revenue_filtered" measure="1" displayFolder="" measureGroup="2 3_Cohort_client_revenue_filtered" count="0" hidden="1"/>
    <cacheHierarchy uniqueName="[Measures].[__XL_Count 3_active_clients]" caption="__XL_Count 3_active_clients" measure="1" displayFolder="" measureGroup="3_active_client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1_client_categori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tv_pctg]" caption="Sum of ltv_pctg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count]" caption="Sum of customer_count" measure="1" displayFolder="" measureGroup="1_client_categori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ltv]" caption="Sum of avg_ltv" measure="1" displayFolder="" measureGroup="1_client_categori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tc_percentage]" caption="Sum of ltc_percentage" measure="1" displayFolder="" measureGroup="1_client_categori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lient_total_revenue]" caption="Sum of client_total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lient_count]" caption="Sum of client_count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g_client_revenue]" caption="Sum of avg_client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ient_total_revenue 2]" caption="Sum of client_total_revenue 2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_revenue_percentage]" caption="Sum of total_revenue_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venue Percentage]" caption="Sum of Revenue 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hort_profit]" caption="Sum of cohort_profit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_count 2]" caption="Sum of customer_count 2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ustomer_revenue]" caption="Sum of customer_revenue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clients]" caption="Sum of total_clients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ive_rate]" caption="Sum of active_rate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1_client_categories" uniqueName="[1_client_categories]" caption="1_client_categories"/>
    <dimension name="2 1_client_revenue_by_cohort" uniqueName="[2 1_client_revenue_by_cohort]" caption="2 1_client_revenue_by_cohort"/>
    <dimension name="2 2_Annual_Revenue_by_Client_Cohort" uniqueName="[2 2_Annual_Revenue_by_Client_Cohort]" caption="2 2_Annual_Revenue_by_Client_Cohort"/>
    <dimension name="2 3_Cohort_client_revenue_filtered" uniqueName="[2 3_Cohort_client_revenue_filtered]" caption="2 3_Cohort_client_revenue_filtered"/>
    <dimension name="3_active_clients" uniqueName="[3_active_clients]" caption="3_active_clients"/>
    <dimension measure="1" name="Measures" uniqueName="[Measures]" caption="Measures"/>
  </dimensions>
  <measureGroups count="5">
    <measureGroup name="1_client_categories" caption="1_client_categories"/>
    <measureGroup name="2 1_client_revenue_by_cohort" caption="2 1_client_revenue_by_cohort"/>
    <measureGroup name="2 2_Annual_Revenue_by_Client_Cohort" caption="2 2_Annual_Revenue_by_Client_Cohort"/>
    <measureGroup name="2 3_Cohort_client_revenue_filtered" caption="2 3_Cohort_client_revenue_filtered"/>
    <measureGroup name="3_active_clients" caption="3_active_clients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mian Voropaev" refreshedDate="45875.78514201389" backgroundQuery="1" createdVersion="8" refreshedVersion="8" minRefreshableVersion="3" recordCount="0" supportSubquery="1" supportAdvancedDrill="1" xr:uid="{5E033540-486F-4A5E-B026-1F2E4F7632CB}">
  <cacheSource type="external" connectionId="6"/>
  <cacheFields count="4">
    <cacheField name="[2 3_Cohort_client_revenue_filtered].[cohort_year].[cohort_year]" caption="cohort_year" numFmtId="0" hierarchy="15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2 3_Cohort_client_revenue_filtered].[cohort_year].&amp;[2015]"/>
            <x15:cachedUniqueName index="1" name="[2 3_Cohort_client_revenue_filtered].[cohort_year].&amp;[2016]"/>
            <x15:cachedUniqueName index="2" name="[2 3_Cohort_client_revenue_filtered].[cohort_year].&amp;[2017]"/>
            <x15:cachedUniqueName index="3" name="[2 3_Cohort_client_revenue_filtered].[cohort_year].&amp;[2018]"/>
            <x15:cachedUniqueName index="4" name="[2 3_Cohort_client_revenue_filtered].[cohort_year].&amp;[2019]"/>
            <x15:cachedUniqueName index="5" name="[2 3_Cohort_client_revenue_filtered].[cohort_year].&amp;[2020]"/>
            <x15:cachedUniqueName index="6" name="[2 3_Cohort_client_revenue_filtered].[cohort_year].&amp;[2021]"/>
            <x15:cachedUniqueName index="7" name="[2 3_Cohort_client_revenue_filtered].[cohort_year].&amp;[2022]"/>
            <x15:cachedUniqueName index="8" name="[2 3_Cohort_client_revenue_filtered].[cohort_year].&amp;[2023]"/>
            <x15:cachedUniqueName index="9" name="[2 3_Cohort_client_revenue_filtered].[cohort_year].&amp;[2024]"/>
          </x15:cachedUniqueNames>
        </ext>
      </extLst>
    </cacheField>
    <cacheField name="[Measures].[Sum of cohort_profit]" caption="Sum of cohort_profit" numFmtId="0" hierarchy="40" level="32767"/>
    <cacheField name="[Measures].[Sum of customer_count 2]" caption="Sum of customer_count 2" numFmtId="0" hierarchy="41" level="32767"/>
    <cacheField name="[Measures].[Sum of customer_revenue]" caption="Sum of customer_revenue" numFmtId="0" hierarchy="42" level="32767"/>
  </cacheFields>
  <cacheHierarchies count="45">
    <cacheHierarchy uniqueName="[1_client_categories].[ltv_category]" caption="ltv_category" attribute="1" defaultMemberUniqueName="[1_client_categories].[ltv_category].[All]" allUniqueName="[1_client_categories].[ltv_category].[All]" dimensionUniqueName="[1_client_categories]" displayFolder="" count="0" memberValueDatatype="130" unbalanced="0"/>
    <cacheHierarchy uniqueName="[1_client_categories].[total_ltv]" caption="total_ltv" attribute="1" defaultMemberUniqueName="[1_client_categories].[total_ltv].[All]" allUniqueName="[1_client_categories].[total_ltv].[All]" dimensionUniqueName="[1_client_categories]" displayFolder="" count="0" memberValueDatatype="5" unbalanced="0"/>
    <cacheHierarchy uniqueName="[1_client_categories].[ltv_pctg]" caption="ltv_pctg" attribute="1" defaultMemberUniqueName="[1_client_categories].[ltv_pctg].[All]" allUniqueName="[1_client_categories].[ltv_pctg].[All]" dimensionUniqueName="[1_client_categories]" displayFolder="" count="0" memberValueDatatype="5" unbalanced="0"/>
    <cacheHierarchy uniqueName="[1_client_categories].[customer_count]" caption="customer_count" attribute="1" defaultMemberUniqueName="[1_client_categories].[customer_count].[All]" allUniqueName="[1_client_categories].[customer_count].[All]" dimensionUniqueName="[1_client_categories]" displayFolder="" count="0" memberValueDatatype="20" unbalanced="0"/>
    <cacheHierarchy uniqueName="[1_client_categories].[avg_ltv]" caption="avg_ltv" attribute="1" defaultMemberUniqueName="[1_client_categories].[avg_ltv].[All]" allUniqueName="[1_client_categories].[avg_ltv].[All]" dimensionUniqueName="[1_client_categories]" displayFolder="" count="0" memberValueDatatype="5" unbalanced="0"/>
    <cacheHierarchy uniqueName="[1_client_categories].[category_cleaned]" caption="category_cleaned" attribute="1" defaultMemberUniqueName="[1_client_categories].[category_cleaned].[All]" allUniqueName="[1_client_categories].[category_cleaned].[All]" dimensionUniqueName="[1_client_categories]" displayFolder="" count="0" memberValueDatatype="130" unbalanced="0"/>
    <cacheHierarchy uniqueName="[1_client_categories].[ltc_percentage]" caption="ltc_percentage" attribute="1" defaultMemberUniqueName="[1_client_categories].[ltc_percentage].[All]" allUniqueName="[1_client_categories].[ltc_percentage].[All]" dimensionUniqueName="[1_client_categories]" displayFolder="" count="0" memberValueDatatype="5" unbalanced="0"/>
    <cacheHierarchy uniqueName="[2 1_client_revenue_by_cohort].[cohort_year]" caption="cohort_year" attribute="1" defaultMemberUniqueName="[2 1_client_revenue_by_cohort].[cohort_year].[All]" allUniqueName="[2 1_client_revenue_by_cohort].[cohort_year].[All]" dimensionUniqueName="[2 1_client_revenue_by_cohort]" displayFolder="" count="0" memberValueDatatype="20" unbalanced="0"/>
    <cacheHierarchy uniqueName="[2 1_client_revenue_by_cohort].[client_total_revenue]" caption="client_total_revenue" attribute="1" defaultMemberUniqueName="[2 1_client_revenue_by_cohort].[client_total_revenue].[All]" allUniqueName="[2 1_client_revenue_by_cohort].[client_total_revenue].[All]" dimensionUniqueName="[2 1_client_revenue_by_cohort]" displayFolder="" count="0" memberValueDatatype="5" unbalanced="0"/>
    <cacheHierarchy uniqueName="[2 1_client_revenue_by_cohort].[client_count]" caption="client_count" attribute="1" defaultMemberUniqueName="[2 1_client_revenue_by_cohort].[client_count].[All]" allUniqueName="[2 1_client_revenue_by_cohort].[client_count].[All]" dimensionUniqueName="[2 1_client_revenue_by_cohort]" displayFolder="" count="0" memberValueDatatype="20" unbalanced="0"/>
    <cacheHierarchy uniqueName="[2 1_client_revenue_by_cohort].[avg_client_revenue]" caption="avg_client_revenue" attribute="1" defaultMemberUniqueName="[2 1_client_revenue_by_cohort].[avg_client_revenue].[All]" allUniqueName="[2 1_client_revenue_by_cohort].[avg_client_revenue].[All]" dimensionUniqueName="[2 1_client_revenue_by_cohort]" displayFolder="" count="0" memberValueDatatype="5" unbalanced="0"/>
    <cacheHierarchy uniqueName="[2 2_Annual_Revenue_by_Client_Cohort].[years_since_first_order]" caption="years_since_first_order" attribute="1" defaultMemberUniqueName="[2 2_Annual_Revenue_by_Client_Cohort].[years_since_first_order].[All]" allUniqueName="[2 2_Annual_Revenue_by_Client_Cohort].[years_since_first_order].[All]" dimensionUniqueName="[2 2_Annual_Revenue_by_Client_Cohort]" displayFolder="" count="0" memberValueDatatype="20" unbalanced="0"/>
    <cacheHierarchy uniqueName="[2 2_Annual_Revenue_by_Client_Cohort].[client_total_revenue]" caption="client_total_revenue" attribute="1" defaultMemberUniqueName="[2 2_Annual_Revenue_by_Client_Cohort].[client_total_revenue].[All]" allUniqueName="[2 2_Annual_Revenue_by_Client_Cohort].[client_total_revenue].[All]" dimensionUniqueName="[2 2_Annual_Revenue_by_Client_Cohort]" displayFolder="" count="0" memberValueDatatype="5" unbalanced="0"/>
    <cacheHierarchy uniqueName="[2 2_Annual_Revenue_by_Client_Cohort].[total_revenue_percentage]" caption="total_revenue_percentage" attribute="1" defaultMemberUniqueName="[2 2_Annual_Revenue_by_Client_Cohort].[total_revenue_percentage].[All]" allUniqueName="[2 2_Annual_Revenue_by_Client_Cohort].[total_revenue_percentage].[All]" dimensionUniqueName="[2 2_Annual_Revenue_by_Client_Cohort]" displayFolder="" count="0" memberValueDatatype="5" unbalanced="0"/>
    <cacheHierarchy uniqueName="[2 2_Annual_Revenue_by_Client_Cohort].[Revenue Percentage]" caption="Revenue Percentage" attribute="1" defaultMemberUniqueName="[2 2_Annual_Revenue_by_Client_Cohort].[Revenue Percentage].[All]" allUniqueName="[2 2_Annual_Revenue_by_Client_Cohort].[Revenue Percentage].[All]" dimensionUniqueName="[2 2_Annual_Revenue_by_Client_Cohort]" displayFolder="" count="0" memberValueDatatype="5" unbalanced="0"/>
    <cacheHierarchy uniqueName="[2 3_Cohort_client_revenue_filtered].[cohort_year]" caption="cohort_year" attribute="1" defaultMemberUniqueName="[2 3_Cohort_client_revenue_filtered].[cohort_year].[All]" allUniqueName="[2 3_Cohort_client_revenue_filtered].[cohort_year].[All]" dimensionUniqueName="[2 3_Cohort_client_revenue_filtered]" displayFolder="" count="2" memberValueDatatype="20" unbalanced="0">
      <fieldsUsage count="2">
        <fieldUsage x="-1"/>
        <fieldUsage x="0"/>
      </fieldsUsage>
    </cacheHierarchy>
    <cacheHierarchy uniqueName="[2 3_Cohort_client_revenue_filtered].[cohort_profit]" caption="cohort_profit" attribute="1" defaultMemberUniqueName="[2 3_Cohort_client_revenue_filtered].[cohort_profit].[All]" allUniqueName="[2 3_Cohort_client_revenue_filtered].[cohort_profit].[All]" dimensionUniqueName="[2 3_Cohort_client_revenue_filtered]" displayFolder="" count="0" memberValueDatatype="5" unbalanced="0"/>
    <cacheHierarchy uniqueName="[2 3_Cohort_client_revenue_filtered].[customer_count]" caption="customer_count" attribute="1" defaultMemberUniqueName="[2 3_Cohort_client_revenue_filtered].[customer_count].[All]" allUniqueName="[2 3_Cohort_client_revenue_filtered].[customer_count].[All]" dimensionUniqueName="[2 3_Cohort_client_revenue_filtered]" displayFolder="" count="0" memberValueDatatype="20" unbalanced="0"/>
    <cacheHierarchy uniqueName="[2 3_Cohort_client_revenue_filtered].[customer_revenue]" caption="customer_revenue" attribute="1" defaultMemberUniqueName="[2 3_Cohort_client_revenue_filtered].[customer_revenue].[All]" allUniqueName="[2 3_Cohort_client_revenue_filtered].[customer_revenue].[All]" dimensionUniqueName="[2 3_Cohort_client_revenue_filtered]" displayFolder="" count="0" memberValueDatatype="5" unbalanced="0"/>
    <cacheHierarchy uniqueName="[3_active_clients].[client_status]" caption="client_status" attribute="1" defaultMemberUniqueName="[3_active_clients].[client_status].[All]" allUniqueName="[3_active_clients].[client_status].[All]" dimensionUniqueName="[3_active_clients]" displayFolder="" count="0" memberValueDatatype="130" unbalanced="0"/>
    <cacheHierarchy uniqueName="[3_active_clients].[cohort_year]" caption="cohort_year" attribute="1" defaultMemberUniqueName="[3_active_clients].[cohort_year].[All]" allUniqueName="[3_active_clients].[cohort_year].[All]" dimensionUniqueName="[3_active_clients]" displayFolder="" count="0" memberValueDatatype="20" unbalanced="0"/>
    <cacheHierarchy uniqueName="[3_active_clients].[total_clients]" caption="total_clients" attribute="1" defaultMemberUniqueName="[3_active_clients].[total_clients].[All]" allUniqueName="[3_active_clients].[total_clients].[All]" dimensionUniqueName="[3_active_clients]" displayFolder="" count="0" memberValueDatatype="20" unbalanced="0"/>
    <cacheHierarchy uniqueName="[3_active_clients].[active_rate]" caption="active_rate" attribute="1" defaultMemberUniqueName="[3_active_clients].[active_rate].[All]" allUniqueName="[3_active_clients].[active_rate].[All]" dimensionUniqueName="[3_active_clients]" displayFolder="" count="0" memberValueDatatype="5" unbalanced="0"/>
    <cacheHierarchy uniqueName="[Measures].[__XL_Count 1_client_categories]" caption="__XL_Count 1_client_categories" measure="1" displayFolder="" measureGroup="1_client_categories" count="0" hidden="1"/>
    <cacheHierarchy uniqueName="[Measures].[__XL_Count 2 1_client_revenue_by_cohort]" caption="__XL_Count 2 1_client_revenue_by_cohort" measure="1" displayFolder="" measureGroup="2 1_client_revenue_by_cohort" count="0" hidden="1"/>
    <cacheHierarchy uniqueName="[Measures].[__XL_Count 2 2_Annual_Revenue_by_Client_Cohort]" caption="__XL_Count 2 2_Annual_Revenue_by_Client_Cohort" measure="1" displayFolder="" measureGroup="2 2_Annual_Revenue_by_Client_Cohort" count="0" hidden="1"/>
    <cacheHierarchy uniqueName="[Measures].[__XL_Count 2 3_Cohort_client_revenue_filtered]" caption="__XL_Count 2 3_Cohort_client_revenue_filtered" measure="1" displayFolder="" measureGroup="2 3_Cohort_client_revenue_filtered" count="0" hidden="1"/>
    <cacheHierarchy uniqueName="[Measures].[__XL_Count 3_active_clients]" caption="__XL_Count 3_active_clients" measure="1" displayFolder="" measureGroup="3_active_client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tv_pctg]" caption="Sum of ltv_pctg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count]" caption="Sum of customer_count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ltv]" caption="Sum of avg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tc_percentage]" caption="Sum of ltc_percentage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lient_total_revenue]" caption="Sum of client_total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lient_count]" caption="Sum of client_count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g_client_revenue]" caption="Sum of avg_client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ient_total_revenue 2]" caption="Sum of client_total_revenue 2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_revenue_percentage]" caption="Sum of total_revenue_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venue Percentage]" caption="Sum of Revenue 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hort_profit]" caption="Sum of cohort_profit" measure="1" displayFolder="" measureGroup="2 3_Cohort_client_revenue_filter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_count 2]" caption="Sum of customer_count 2" measure="1" displayFolder="" measureGroup="2 3_Cohort_client_revenue_filter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ustomer_revenue]" caption="Sum of customer_revenue" measure="1" displayFolder="" measureGroup="2 3_Cohort_client_revenue_filtere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clients]" caption="Sum of total_clients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ive_rate]" caption="Sum of active_rate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1_client_categories" uniqueName="[1_client_categories]" caption="1_client_categories"/>
    <dimension name="2 1_client_revenue_by_cohort" uniqueName="[2 1_client_revenue_by_cohort]" caption="2 1_client_revenue_by_cohort"/>
    <dimension name="2 2_Annual_Revenue_by_Client_Cohort" uniqueName="[2 2_Annual_Revenue_by_Client_Cohort]" caption="2 2_Annual_Revenue_by_Client_Cohort"/>
    <dimension name="2 3_Cohort_client_revenue_filtered" uniqueName="[2 3_Cohort_client_revenue_filtered]" caption="2 3_Cohort_client_revenue_filtered"/>
    <dimension name="3_active_clients" uniqueName="[3_active_clients]" caption="3_active_clients"/>
    <dimension measure="1" name="Measures" uniqueName="[Measures]" caption="Measures"/>
  </dimensions>
  <measureGroups count="5">
    <measureGroup name="1_client_categories" caption="1_client_categories"/>
    <measureGroup name="2 1_client_revenue_by_cohort" caption="2 1_client_revenue_by_cohort"/>
    <measureGroup name="2 2_Annual_Revenue_by_Client_Cohort" caption="2 2_Annual_Revenue_by_Client_Cohort"/>
    <measureGroup name="2 3_Cohort_client_revenue_filtered" caption="2 3_Cohort_client_revenue_filtered"/>
    <measureGroup name="3_active_clients" caption="3_active_clients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mian Voropaev" refreshedDate="45875.785142824076" backgroundQuery="1" createdVersion="8" refreshedVersion="8" minRefreshableVersion="3" recordCount="0" supportSubquery="1" supportAdvancedDrill="1" xr:uid="{3A419E4C-EA29-47DB-9193-7DA01E7C6407}">
  <cacheSource type="external" connectionId="6"/>
  <cacheFields count="3">
    <cacheField name="[2 2_Annual_Revenue_by_Client_Cohort].[years_since_first_order].[years_since_first_order]" caption="years_since_first_order" numFmtId="0" hierarchy="11" level="1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2 2_Annual_Revenue_by_Client_Cohort].[years_since_first_order].&amp;[0]"/>
            <x15:cachedUniqueName index="1" name="[2 2_Annual_Revenue_by_Client_Cohort].[years_since_first_order].&amp;[1]"/>
            <x15:cachedUniqueName index="2" name="[2 2_Annual_Revenue_by_Client_Cohort].[years_since_first_order].&amp;[2]"/>
            <x15:cachedUniqueName index="3" name="[2 2_Annual_Revenue_by_Client_Cohort].[years_since_first_order].&amp;[3]"/>
            <x15:cachedUniqueName index="4" name="[2 2_Annual_Revenue_by_Client_Cohort].[years_since_first_order].&amp;[4]"/>
            <x15:cachedUniqueName index="5" name="[2 2_Annual_Revenue_by_Client_Cohort].[years_since_first_order].&amp;[5]"/>
            <x15:cachedUniqueName index="6" name="[2 2_Annual_Revenue_by_Client_Cohort].[years_since_first_order].&amp;[6]"/>
            <x15:cachedUniqueName index="7" name="[2 2_Annual_Revenue_by_Client_Cohort].[years_since_first_order].&amp;[7]"/>
            <x15:cachedUniqueName index="8" name="[2 2_Annual_Revenue_by_Client_Cohort].[years_since_first_order].&amp;[8]"/>
            <x15:cachedUniqueName index="9" name="[2 2_Annual_Revenue_by_Client_Cohort].[years_since_first_order].&amp;[9]"/>
          </x15:cachedUniqueNames>
        </ext>
      </extLst>
    </cacheField>
    <cacheField name="[Measures].[Sum of client_total_revenue 2]" caption="Sum of client_total_revenue 2" numFmtId="0" hierarchy="37" level="32767"/>
    <cacheField name="[Measures].[Sum of Revenue Percentage]" caption="Sum of Revenue Percentage" numFmtId="0" hierarchy="39" level="32767"/>
  </cacheFields>
  <cacheHierarchies count="45">
    <cacheHierarchy uniqueName="[1_client_categories].[ltv_category]" caption="ltv_category" attribute="1" defaultMemberUniqueName="[1_client_categories].[ltv_category].[All]" allUniqueName="[1_client_categories].[ltv_category].[All]" dimensionUniqueName="[1_client_categories]" displayFolder="" count="0" memberValueDatatype="130" unbalanced="0"/>
    <cacheHierarchy uniqueName="[1_client_categories].[total_ltv]" caption="total_ltv" attribute="1" defaultMemberUniqueName="[1_client_categories].[total_ltv].[All]" allUniqueName="[1_client_categories].[total_ltv].[All]" dimensionUniqueName="[1_client_categories]" displayFolder="" count="0" memberValueDatatype="5" unbalanced="0"/>
    <cacheHierarchy uniqueName="[1_client_categories].[ltv_pctg]" caption="ltv_pctg" attribute="1" defaultMemberUniqueName="[1_client_categories].[ltv_pctg].[All]" allUniqueName="[1_client_categories].[ltv_pctg].[All]" dimensionUniqueName="[1_client_categories]" displayFolder="" count="0" memberValueDatatype="5" unbalanced="0"/>
    <cacheHierarchy uniqueName="[1_client_categories].[customer_count]" caption="customer_count" attribute="1" defaultMemberUniqueName="[1_client_categories].[customer_count].[All]" allUniqueName="[1_client_categories].[customer_count].[All]" dimensionUniqueName="[1_client_categories]" displayFolder="" count="0" memberValueDatatype="20" unbalanced="0"/>
    <cacheHierarchy uniqueName="[1_client_categories].[avg_ltv]" caption="avg_ltv" attribute="1" defaultMemberUniqueName="[1_client_categories].[avg_ltv].[All]" allUniqueName="[1_client_categories].[avg_ltv].[All]" dimensionUniqueName="[1_client_categories]" displayFolder="" count="0" memberValueDatatype="5" unbalanced="0"/>
    <cacheHierarchy uniqueName="[1_client_categories].[category_cleaned]" caption="category_cleaned" attribute="1" defaultMemberUniqueName="[1_client_categories].[category_cleaned].[All]" allUniqueName="[1_client_categories].[category_cleaned].[All]" dimensionUniqueName="[1_client_categories]" displayFolder="" count="0" memberValueDatatype="130" unbalanced="0"/>
    <cacheHierarchy uniqueName="[1_client_categories].[ltc_percentage]" caption="ltc_percentage" attribute="1" defaultMemberUniqueName="[1_client_categories].[ltc_percentage].[All]" allUniqueName="[1_client_categories].[ltc_percentage].[All]" dimensionUniqueName="[1_client_categories]" displayFolder="" count="0" memberValueDatatype="5" unbalanced="0"/>
    <cacheHierarchy uniqueName="[2 1_client_revenue_by_cohort].[cohort_year]" caption="cohort_year" attribute="1" defaultMemberUniqueName="[2 1_client_revenue_by_cohort].[cohort_year].[All]" allUniqueName="[2 1_client_revenue_by_cohort].[cohort_year].[All]" dimensionUniqueName="[2 1_client_revenue_by_cohort]" displayFolder="" count="0" memberValueDatatype="20" unbalanced="0"/>
    <cacheHierarchy uniqueName="[2 1_client_revenue_by_cohort].[client_total_revenue]" caption="client_total_revenue" attribute="1" defaultMemberUniqueName="[2 1_client_revenue_by_cohort].[client_total_revenue].[All]" allUniqueName="[2 1_client_revenue_by_cohort].[client_total_revenue].[All]" dimensionUniqueName="[2 1_client_revenue_by_cohort]" displayFolder="" count="0" memberValueDatatype="5" unbalanced="0"/>
    <cacheHierarchy uniqueName="[2 1_client_revenue_by_cohort].[client_count]" caption="client_count" attribute="1" defaultMemberUniqueName="[2 1_client_revenue_by_cohort].[client_count].[All]" allUniqueName="[2 1_client_revenue_by_cohort].[client_count].[All]" dimensionUniqueName="[2 1_client_revenue_by_cohort]" displayFolder="" count="0" memberValueDatatype="20" unbalanced="0"/>
    <cacheHierarchy uniqueName="[2 1_client_revenue_by_cohort].[avg_client_revenue]" caption="avg_client_revenue" attribute="1" defaultMemberUniqueName="[2 1_client_revenue_by_cohort].[avg_client_revenue].[All]" allUniqueName="[2 1_client_revenue_by_cohort].[avg_client_revenue].[All]" dimensionUniqueName="[2 1_client_revenue_by_cohort]" displayFolder="" count="0" memberValueDatatype="5" unbalanced="0"/>
    <cacheHierarchy uniqueName="[2 2_Annual_Revenue_by_Client_Cohort].[years_since_first_order]" caption="years_since_first_order" attribute="1" defaultMemberUniqueName="[2 2_Annual_Revenue_by_Client_Cohort].[years_since_first_order].[All]" allUniqueName="[2 2_Annual_Revenue_by_Client_Cohort].[years_since_first_order].[All]" dimensionUniqueName="[2 2_Annual_Revenue_by_Client_Cohort]" displayFolder="" count="2" memberValueDatatype="20" unbalanced="0">
      <fieldsUsage count="2">
        <fieldUsage x="-1"/>
        <fieldUsage x="0"/>
      </fieldsUsage>
    </cacheHierarchy>
    <cacheHierarchy uniqueName="[2 2_Annual_Revenue_by_Client_Cohort].[client_total_revenue]" caption="client_total_revenue" attribute="1" defaultMemberUniqueName="[2 2_Annual_Revenue_by_Client_Cohort].[client_total_revenue].[All]" allUniqueName="[2 2_Annual_Revenue_by_Client_Cohort].[client_total_revenue].[All]" dimensionUniqueName="[2 2_Annual_Revenue_by_Client_Cohort]" displayFolder="" count="0" memberValueDatatype="5" unbalanced="0"/>
    <cacheHierarchy uniqueName="[2 2_Annual_Revenue_by_Client_Cohort].[total_revenue_percentage]" caption="total_revenue_percentage" attribute="1" defaultMemberUniqueName="[2 2_Annual_Revenue_by_Client_Cohort].[total_revenue_percentage].[All]" allUniqueName="[2 2_Annual_Revenue_by_Client_Cohort].[total_revenue_percentage].[All]" dimensionUniqueName="[2 2_Annual_Revenue_by_Client_Cohort]" displayFolder="" count="0" memberValueDatatype="5" unbalanced="0"/>
    <cacheHierarchy uniqueName="[2 2_Annual_Revenue_by_Client_Cohort].[Revenue Percentage]" caption="Revenue Percentage" attribute="1" defaultMemberUniqueName="[2 2_Annual_Revenue_by_Client_Cohort].[Revenue Percentage].[All]" allUniqueName="[2 2_Annual_Revenue_by_Client_Cohort].[Revenue Percentage].[All]" dimensionUniqueName="[2 2_Annual_Revenue_by_Client_Cohort]" displayFolder="" count="0" memberValueDatatype="5" unbalanced="0"/>
    <cacheHierarchy uniqueName="[2 3_Cohort_client_revenue_filtered].[cohort_year]" caption="cohort_year" attribute="1" defaultMemberUniqueName="[2 3_Cohort_client_revenue_filtered].[cohort_year].[All]" allUniqueName="[2 3_Cohort_client_revenue_filtered].[cohort_year].[All]" dimensionUniqueName="[2 3_Cohort_client_revenue_filtered]" displayFolder="" count="0" memberValueDatatype="20" unbalanced="0"/>
    <cacheHierarchy uniqueName="[2 3_Cohort_client_revenue_filtered].[cohort_profit]" caption="cohort_profit" attribute="1" defaultMemberUniqueName="[2 3_Cohort_client_revenue_filtered].[cohort_profit].[All]" allUniqueName="[2 3_Cohort_client_revenue_filtered].[cohort_profit].[All]" dimensionUniqueName="[2 3_Cohort_client_revenue_filtered]" displayFolder="" count="0" memberValueDatatype="5" unbalanced="0"/>
    <cacheHierarchy uniqueName="[2 3_Cohort_client_revenue_filtered].[customer_count]" caption="customer_count" attribute="1" defaultMemberUniqueName="[2 3_Cohort_client_revenue_filtered].[customer_count].[All]" allUniqueName="[2 3_Cohort_client_revenue_filtered].[customer_count].[All]" dimensionUniqueName="[2 3_Cohort_client_revenue_filtered]" displayFolder="" count="0" memberValueDatatype="20" unbalanced="0"/>
    <cacheHierarchy uniqueName="[2 3_Cohort_client_revenue_filtered].[customer_revenue]" caption="customer_revenue" attribute="1" defaultMemberUniqueName="[2 3_Cohort_client_revenue_filtered].[customer_revenue].[All]" allUniqueName="[2 3_Cohort_client_revenue_filtered].[customer_revenue].[All]" dimensionUniqueName="[2 3_Cohort_client_revenue_filtered]" displayFolder="" count="0" memberValueDatatype="5" unbalanced="0"/>
    <cacheHierarchy uniqueName="[3_active_clients].[client_status]" caption="client_status" attribute="1" defaultMemberUniqueName="[3_active_clients].[client_status].[All]" allUniqueName="[3_active_clients].[client_status].[All]" dimensionUniqueName="[3_active_clients]" displayFolder="" count="0" memberValueDatatype="130" unbalanced="0"/>
    <cacheHierarchy uniqueName="[3_active_clients].[cohort_year]" caption="cohort_year" attribute="1" defaultMemberUniqueName="[3_active_clients].[cohort_year].[All]" allUniqueName="[3_active_clients].[cohort_year].[All]" dimensionUniqueName="[3_active_clients]" displayFolder="" count="0" memberValueDatatype="20" unbalanced="0"/>
    <cacheHierarchy uniqueName="[3_active_clients].[total_clients]" caption="total_clients" attribute="1" defaultMemberUniqueName="[3_active_clients].[total_clients].[All]" allUniqueName="[3_active_clients].[total_clients].[All]" dimensionUniqueName="[3_active_clients]" displayFolder="" count="0" memberValueDatatype="20" unbalanced="0"/>
    <cacheHierarchy uniqueName="[3_active_clients].[active_rate]" caption="active_rate" attribute="1" defaultMemberUniqueName="[3_active_clients].[active_rate].[All]" allUniqueName="[3_active_clients].[active_rate].[All]" dimensionUniqueName="[3_active_clients]" displayFolder="" count="0" memberValueDatatype="5" unbalanced="0"/>
    <cacheHierarchy uniqueName="[Measures].[__XL_Count 1_client_categories]" caption="__XL_Count 1_client_categories" measure="1" displayFolder="" measureGroup="1_client_categories" count="0" hidden="1"/>
    <cacheHierarchy uniqueName="[Measures].[__XL_Count 2 1_client_revenue_by_cohort]" caption="__XL_Count 2 1_client_revenue_by_cohort" measure="1" displayFolder="" measureGroup="2 1_client_revenue_by_cohort" count="0" hidden="1"/>
    <cacheHierarchy uniqueName="[Measures].[__XL_Count 2 2_Annual_Revenue_by_Client_Cohort]" caption="__XL_Count 2 2_Annual_Revenue_by_Client_Cohort" measure="1" displayFolder="" measureGroup="2 2_Annual_Revenue_by_Client_Cohort" count="0" hidden="1"/>
    <cacheHierarchy uniqueName="[Measures].[__XL_Count 2 3_Cohort_client_revenue_filtered]" caption="__XL_Count 2 3_Cohort_client_revenue_filtered" measure="1" displayFolder="" measureGroup="2 3_Cohort_client_revenue_filtered" count="0" hidden="1"/>
    <cacheHierarchy uniqueName="[Measures].[__XL_Count 3_active_clients]" caption="__XL_Count 3_active_clients" measure="1" displayFolder="" measureGroup="3_active_client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tv_pctg]" caption="Sum of ltv_pctg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count]" caption="Sum of customer_count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ltv]" caption="Sum of avg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tc_percentage]" caption="Sum of ltc_percentage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lient_total_revenue]" caption="Sum of client_total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lient_count]" caption="Sum of client_count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g_client_revenue]" caption="Sum of avg_client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ient_total_revenue 2]" caption="Sum of client_total_revenue 2" measure="1" displayFolder="" measureGroup="2 2_Annual_Revenue_by_Client_Cohor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_revenue_percentage]" caption="Sum of total_revenue_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venue Percentage]" caption="Sum of Revenue Percentage" measure="1" displayFolder="" measureGroup="2 2_Annual_Revenue_by_Client_Cohor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hort_profit]" caption="Sum of cohort_profit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_count 2]" caption="Sum of customer_count 2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ustomer_revenue]" caption="Sum of customer_revenue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clients]" caption="Sum of total_clients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ive_rate]" caption="Sum of active_rate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1_client_categories" uniqueName="[1_client_categories]" caption="1_client_categories"/>
    <dimension name="2 1_client_revenue_by_cohort" uniqueName="[2 1_client_revenue_by_cohort]" caption="2 1_client_revenue_by_cohort"/>
    <dimension name="2 2_Annual_Revenue_by_Client_Cohort" uniqueName="[2 2_Annual_Revenue_by_Client_Cohort]" caption="2 2_Annual_Revenue_by_Client_Cohort"/>
    <dimension name="2 3_Cohort_client_revenue_filtered" uniqueName="[2 3_Cohort_client_revenue_filtered]" caption="2 3_Cohort_client_revenue_filtered"/>
    <dimension name="3_active_clients" uniqueName="[3_active_clients]" caption="3_active_clients"/>
    <dimension measure="1" name="Measures" uniqueName="[Measures]" caption="Measures"/>
  </dimensions>
  <measureGroups count="5">
    <measureGroup name="1_client_categories" caption="1_client_categories"/>
    <measureGroup name="2 1_client_revenue_by_cohort" caption="2 1_client_revenue_by_cohort"/>
    <measureGroup name="2 2_Annual_Revenue_by_Client_Cohort" caption="2 2_Annual_Revenue_by_Client_Cohort"/>
    <measureGroup name="2 3_Cohort_client_revenue_filtered" caption="2 3_Cohort_client_revenue_filtered"/>
    <measureGroup name="3_active_clients" caption="3_active_clients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mian Voropaev" refreshedDate="45875.785143634261" backgroundQuery="1" createdVersion="8" refreshedVersion="8" minRefreshableVersion="3" recordCount="0" supportSubquery="1" supportAdvancedDrill="1" xr:uid="{E29B1D08-697D-4820-A77C-D23971C90A0F}">
  <cacheSource type="external" connectionId="6"/>
  <cacheFields count="4">
    <cacheField name="[2 1_client_revenue_by_cohort].[cohort_year].[cohort_year]" caption="cohort_year" numFmtId="0" hierarchy="7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2 1_client_revenue_by_cohort].[cohort_year].&amp;[2015]"/>
            <x15:cachedUniqueName index="1" name="[2 1_client_revenue_by_cohort].[cohort_year].&amp;[2016]"/>
            <x15:cachedUniqueName index="2" name="[2 1_client_revenue_by_cohort].[cohort_year].&amp;[2017]"/>
            <x15:cachedUniqueName index="3" name="[2 1_client_revenue_by_cohort].[cohort_year].&amp;[2018]"/>
            <x15:cachedUniqueName index="4" name="[2 1_client_revenue_by_cohort].[cohort_year].&amp;[2019]"/>
            <x15:cachedUniqueName index="5" name="[2 1_client_revenue_by_cohort].[cohort_year].&amp;[2020]"/>
            <x15:cachedUniqueName index="6" name="[2 1_client_revenue_by_cohort].[cohort_year].&amp;[2021]"/>
            <x15:cachedUniqueName index="7" name="[2 1_client_revenue_by_cohort].[cohort_year].&amp;[2022]"/>
            <x15:cachedUniqueName index="8" name="[2 1_client_revenue_by_cohort].[cohort_year].&amp;[2023]"/>
            <x15:cachedUniqueName index="9" name="[2 1_client_revenue_by_cohort].[cohort_year].&amp;[2024]"/>
          </x15:cachedUniqueNames>
        </ext>
      </extLst>
    </cacheField>
    <cacheField name="[Measures].[Sum of client_total_revenue]" caption="Sum of client_total_revenue" numFmtId="0" hierarchy="34" level="32767"/>
    <cacheField name="[Measures].[Sum of client_count]" caption="Sum of client_count" numFmtId="0" hierarchy="35" level="32767"/>
    <cacheField name="[Measures].[Sum of avg_client_revenue]" caption="Sum of avg_client_revenue" numFmtId="0" hierarchy="36" level="32767"/>
  </cacheFields>
  <cacheHierarchies count="45">
    <cacheHierarchy uniqueName="[1_client_categories].[ltv_category]" caption="ltv_category" attribute="1" defaultMemberUniqueName="[1_client_categories].[ltv_category].[All]" allUniqueName="[1_client_categories].[ltv_category].[All]" dimensionUniqueName="[1_client_categories]" displayFolder="" count="0" memberValueDatatype="130" unbalanced="0"/>
    <cacheHierarchy uniqueName="[1_client_categories].[total_ltv]" caption="total_ltv" attribute="1" defaultMemberUniqueName="[1_client_categories].[total_ltv].[All]" allUniqueName="[1_client_categories].[total_ltv].[All]" dimensionUniqueName="[1_client_categories]" displayFolder="" count="0" memberValueDatatype="5" unbalanced="0"/>
    <cacheHierarchy uniqueName="[1_client_categories].[ltv_pctg]" caption="ltv_pctg" attribute="1" defaultMemberUniqueName="[1_client_categories].[ltv_pctg].[All]" allUniqueName="[1_client_categories].[ltv_pctg].[All]" dimensionUniqueName="[1_client_categories]" displayFolder="" count="0" memberValueDatatype="5" unbalanced="0"/>
    <cacheHierarchy uniqueName="[1_client_categories].[customer_count]" caption="customer_count" attribute="1" defaultMemberUniqueName="[1_client_categories].[customer_count].[All]" allUniqueName="[1_client_categories].[customer_count].[All]" dimensionUniqueName="[1_client_categories]" displayFolder="" count="0" memberValueDatatype="20" unbalanced="0"/>
    <cacheHierarchy uniqueName="[1_client_categories].[avg_ltv]" caption="avg_ltv" attribute="1" defaultMemberUniqueName="[1_client_categories].[avg_ltv].[All]" allUniqueName="[1_client_categories].[avg_ltv].[All]" dimensionUniqueName="[1_client_categories]" displayFolder="" count="0" memberValueDatatype="5" unbalanced="0"/>
    <cacheHierarchy uniqueName="[1_client_categories].[category_cleaned]" caption="category_cleaned" attribute="1" defaultMemberUniqueName="[1_client_categories].[category_cleaned].[All]" allUniqueName="[1_client_categories].[category_cleaned].[All]" dimensionUniqueName="[1_client_categories]" displayFolder="" count="0" memberValueDatatype="130" unbalanced="0"/>
    <cacheHierarchy uniqueName="[1_client_categories].[ltc_percentage]" caption="ltc_percentage" attribute="1" defaultMemberUniqueName="[1_client_categories].[ltc_percentage].[All]" allUniqueName="[1_client_categories].[ltc_percentage].[All]" dimensionUniqueName="[1_client_categories]" displayFolder="" count="0" memberValueDatatype="5" unbalanced="0"/>
    <cacheHierarchy uniqueName="[2 1_client_revenue_by_cohort].[cohort_year]" caption="cohort_year" attribute="1" defaultMemberUniqueName="[2 1_client_revenue_by_cohort].[cohort_year].[All]" allUniqueName="[2 1_client_revenue_by_cohort].[cohort_year].[All]" dimensionUniqueName="[2 1_client_revenue_by_cohort]" displayFolder="" count="2" memberValueDatatype="20" unbalanced="0">
      <fieldsUsage count="2">
        <fieldUsage x="-1"/>
        <fieldUsage x="0"/>
      </fieldsUsage>
    </cacheHierarchy>
    <cacheHierarchy uniqueName="[2 1_client_revenue_by_cohort].[client_total_revenue]" caption="client_total_revenue" attribute="1" defaultMemberUniqueName="[2 1_client_revenue_by_cohort].[client_total_revenue].[All]" allUniqueName="[2 1_client_revenue_by_cohort].[client_total_revenue].[All]" dimensionUniqueName="[2 1_client_revenue_by_cohort]" displayFolder="" count="0" memberValueDatatype="5" unbalanced="0"/>
    <cacheHierarchy uniqueName="[2 1_client_revenue_by_cohort].[client_count]" caption="client_count" attribute="1" defaultMemberUniqueName="[2 1_client_revenue_by_cohort].[client_count].[All]" allUniqueName="[2 1_client_revenue_by_cohort].[client_count].[All]" dimensionUniqueName="[2 1_client_revenue_by_cohort]" displayFolder="" count="0" memberValueDatatype="20" unbalanced="0"/>
    <cacheHierarchy uniqueName="[2 1_client_revenue_by_cohort].[avg_client_revenue]" caption="avg_client_revenue" attribute="1" defaultMemberUniqueName="[2 1_client_revenue_by_cohort].[avg_client_revenue].[All]" allUniqueName="[2 1_client_revenue_by_cohort].[avg_client_revenue].[All]" dimensionUniqueName="[2 1_client_revenue_by_cohort]" displayFolder="" count="0" memberValueDatatype="5" unbalanced="0"/>
    <cacheHierarchy uniqueName="[2 2_Annual_Revenue_by_Client_Cohort].[years_since_first_order]" caption="years_since_first_order" attribute="1" defaultMemberUniqueName="[2 2_Annual_Revenue_by_Client_Cohort].[years_since_first_order].[All]" allUniqueName="[2 2_Annual_Revenue_by_Client_Cohort].[years_since_first_order].[All]" dimensionUniqueName="[2 2_Annual_Revenue_by_Client_Cohort]" displayFolder="" count="0" memberValueDatatype="20" unbalanced="0"/>
    <cacheHierarchy uniqueName="[2 2_Annual_Revenue_by_Client_Cohort].[client_total_revenue]" caption="client_total_revenue" attribute="1" defaultMemberUniqueName="[2 2_Annual_Revenue_by_Client_Cohort].[client_total_revenue].[All]" allUniqueName="[2 2_Annual_Revenue_by_Client_Cohort].[client_total_revenue].[All]" dimensionUniqueName="[2 2_Annual_Revenue_by_Client_Cohort]" displayFolder="" count="0" memberValueDatatype="5" unbalanced="0"/>
    <cacheHierarchy uniqueName="[2 2_Annual_Revenue_by_Client_Cohort].[total_revenue_percentage]" caption="total_revenue_percentage" attribute="1" defaultMemberUniqueName="[2 2_Annual_Revenue_by_Client_Cohort].[total_revenue_percentage].[All]" allUniqueName="[2 2_Annual_Revenue_by_Client_Cohort].[total_revenue_percentage].[All]" dimensionUniqueName="[2 2_Annual_Revenue_by_Client_Cohort]" displayFolder="" count="0" memberValueDatatype="5" unbalanced="0"/>
    <cacheHierarchy uniqueName="[2 2_Annual_Revenue_by_Client_Cohort].[Revenue Percentage]" caption="Revenue Percentage" attribute="1" defaultMemberUniqueName="[2 2_Annual_Revenue_by_Client_Cohort].[Revenue Percentage].[All]" allUniqueName="[2 2_Annual_Revenue_by_Client_Cohort].[Revenue Percentage].[All]" dimensionUniqueName="[2 2_Annual_Revenue_by_Client_Cohort]" displayFolder="" count="0" memberValueDatatype="5" unbalanced="0"/>
    <cacheHierarchy uniqueName="[2 3_Cohort_client_revenue_filtered].[cohort_year]" caption="cohort_year" attribute="1" defaultMemberUniqueName="[2 3_Cohort_client_revenue_filtered].[cohort_year].[All]" allUniqueName="[2 3_Cohort_client_revenue_filtered].[cohort_year].[All]" dimensionUniqueName="[2 3_Cohort_client_revenue_filtered]" displayFolder="" count="0" memberValueDatatype="20" unbalanced="0"/>
    <cacheHierarchy uniqueName="[2 3_Cohort_client_revenue_filtered].[cohort_profit]" caption="cohort_profit" attribute="1" defaultMemberUniqueName="[2 3_Cohort_client_revenue_filtered].[cohort_profit].[All]" allUniqueName="[2 3_Cohort_client_revenue_filtered].[cohort_profit].[All]" dimensionUniqueName="[2 3_Cohort_client_revenue_filtered]" displayFolder="" count="0" memberValueDatatype="5" unbalanced="0"/>
    <cacheHierarchy uniqueName="[2 3_Cohort_client_revenue_filtered].[customer_count]" caption="customer_count" attribute="1" defaultMemberUniqueName="[2 3_Cohort_client_revenue_filtered].[customer_count].[All]" allUniqueName="[2 3_Cohort_client_revenue_filtered].[customer_count].[All]" dimensionUniqueName="[2 3_Cohort_client_revenue_filtered]" displayFolder="" count="0" memberValueDatatype="20" unbalanced="0"/>
    <cacheHierarchy uniqueName="[2 3_Cohort_client_revenue_filtered].[customer_revenue]" caption="customer_revenue" attribute="1" defaultMemberUniqueName="[2 3_Cohort_client_revenue_filtered].[customer_revenue].[All]" allUniqueName="[2 3_Cohort_client_revenue_filtered].[customer_revenue].[All]" dimensionUniqueName="[2 3_Cohort_client_revenue_filtered]" displayFolder="" count="0" memberValueDatatype="5" unbalanced="0"/>
    <cacheHierarchy uniqueName="[3_active_clients].[client_status]" caption="client_status" attribute="1" defaultMemberUniqueName="[3_active_clients].[client_status].[All]" allUniqueName="[3_active_clients].[client_status].[All]" dimensionUniqueName="[3_active_clients]" displayFolder="" count="0" memberValueDatatype="130" unbalanced="0"/>
    <cacheHierarchy uniqueName="[3_active_clients].[cohort_year]" caption="cohort_year" attribute="1" defaultMemberUniqueName="[3_active_clients].[cohort_year].[All]" allUniqueName="[3_active_clients].[cohort_year].[All]" dimensionUniqueName="[3_active_clients]" displayFolder="" count="0" memberValueDatatype="20" unbalanced="0"/>
    <cacheHierarchy uniqueName="[3_active_clients].[total_clients]" caption="total_clients" attribute="1" defaultMemberUniqueName="[3_active_clients].[total_clients].[All]" allUniqueName="[3_active_clients].[total_clients].[All]" dimensionUniqueName="[3_active_clients]" displayFolder="" count="0" memberValueDatatype="20" unbalanced="0"/>
    <cacheHierarchy uniqueName="[3_active_clients].[active_rate]" caption="active_rate" attribute="1" defaultMemberUniqueName="[3_active_clients].[active_rate].[All]" allUniqueName="[3_active_clients].[active_rate].[All]" dimensionUniqueName="[3_active_clients]" displayFolder="" count="0" memberValueDatatype="5" unbalanced="0"/>
    <cacheHierarchy uniqueName="[Measures].[__XL_Count 1_client_categories]" caption="__XL_Count 1_client_categories" measure="1" displayFolder="" measureGroup="1_client_categories" count="0" hidden="1"/>
    <cacheHierarchy uniqueName="[Measures].[__XL_Count 2 1_client_revenue_by_cohort]" caption="__XL_Count 2 1_client_revenue_by_cohort" measure="1" displayFolder="" measureGroup="2 1_client_revenue_by_cohort" count="0" hidden="1"/>
    <cacheHierarchy uniqueName="[Measures].[__XL_Count 2 2_Annual_Revenue_by_Client_Cohort]" caption="__XL_Count 2 2_Annual_Revenue_by_Client_Cohort" measure="1" displayFolder="" measureGroup="2 2_Annual_Revenue_by_Client_Cohort" count="0" hidden="1"/>
    <cacheHierarchy uniqueName="[Measures].[__XL_Count 2 3_Cohort_client_revenue_filtered]" caption="__XL_Count 2 3_Cohort_client_revenue_filtered" measure="1" displayFolder="" measureGroup="2 3_Cohort_client_revenue_filtered" count="0" hidden="1"/>
    <cacheHierarchy uniqueName="[Measures].[__XL_Count 3_active_clients]" caption="__XL_Count 3_active_clients" measure="1" displayFolder="" measureGroup="3_active_client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tv_pctg]" caption="Sum of ltv_pctg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count]" caption="Sum of customer_count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ltv]" caption="Sum of avg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tc_percentage]" caption="Sum of ltc_percentage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lient_total_revenue]" caption="Sum of client_total_revenue" measure="1" displayFolder="" measureGroup="2 1_client_revenue_by_cohor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lient_count]" caption="Sum of client_count" measure="1" displayFolder="" measureGroup="2 1_client_revenue_by_cohor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g_client_revenue]" caption="Sum of avg_client_revenue" measure="1" displayFolder="" measureGroup="2 1_client_revenue_by_cohor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ient_total_revenue 2]" caption="Sum of client_total_revenue 2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_revenue_percentage]" caption="Sum of total_revenue_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venue Percentage]" caption="Sum of Revenue 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hort_profit]" caption="Sum of cohort_profit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_count 2]" caption="Sum of customer_count 2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ustomer_revenue]" caption="Sum of customer_revenue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clients]" caption="Sum of total_clients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ive_rate]" caption="Sum of active_rate" measure="1" displayFolder="" measureGroup="3_active_client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1_client_categories" uniqueName="[1_client_categories]" caption="1_client_categories"/>
    <dimension name="2 1_client_revenue_by_cohort" uniqueName="[2 1_client_revenue_by_cohort]" caption="2 1_client_revenue_by_cohort"/>
    <dimension name="2 2_Annual_Revenue_by_Client_Cohort" uniqueName="[2 2_Annual_Revenue_by_Client_Cohort]" caption="2 2_Annual_Revenue_by_Client_Cohort"/>
    <dimension name="2 3_Cohort_client_revenue_filtered" uniqueName="[2 3_Cohort_client_revenue_filtered]" caption="2 3_Cohort_client_revenue_filtered"/>
    <dimension name="3_active_clients" uniqueName="[3_active_clients]" caption="3_active_clients"/>
    <dimension measure="1" name="Measures" uniqueName="[Measures]" caption="Measures"/>
  </dimensions>
  <measureGroups count="5">
    <measureGroup name="1_client_categories" caption="1_client_categories"/>
    <measureGroup name="2 1_client_revenue_by_cohort" caption="2 1_client_revenue_by_cohort"/>
    <measureGroup name="2 2_Annual_Revenue_by_Client_Cohort" caption="2 2_Annual_Revenue_by_Client_Cohort"/>
    <measureGroup name="2 3_Cohort_client_revenue_filtered" caption="2 3_Cohort_client_revenue_filtered"/>
    <measureGroup name="3_active_clients" caption="3_active_clients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mian Voropaev" refreshedDate="45875.794483101854" backgroundQuery="1" createdVersion="8" refreshedVersion="8" minRefreshableVersion="3" recordCount="0" supportSubquery="1" supportAdvancedDrill="1" xr:uid="{38385DC4-14DC-45A7-8DA6-FE58B80FFC70}">
  <cacheSource type="external" connectionId="6"/>
  <cacheFields count="4">
    <cacheField name="[3_active_clients].[client_status].[client_status]" caption="client_status" numFmtId="0" hierarchy="19" level="1">
      <sharedItems count="2">
        <s v="Active"/>
        <s v="Churned"/>
      </sharedItems>
    </cacheField>
    <cacheField name="[3_active_clients].[cohort_year].[cohort_year]" caption="cohort_year" numFmtId="0" hierarchy="20" level="1">
      <sharedItems containsSemiMixedTypes="0" containsString="0" containsNumber="1" containsInteger="1" minValue="2015" maxValue="2023" count="9">
        <n v="2015"/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3_active_clients].[cohort_year].&amp;[2015]"/>
            <x15:cachedUniqueName index="1" name="[3_active_clients].[cohort_year].&amp;[2016]"/>
            <x15:cachedUniqueName index="2" name="[3_active_clients].[cohort_year].&amp;[2017]"/>
            <x15:cachedUniqueName index="3" name="[3_active_clients].[cohort_year].&amp;[2018]"/>
            <x15:cachedUniqueName index="4" name="[3_active_clients].[cohort_year].&amp;[2019]"/>
            <x15:cachedUniqueName index="5" name="[3_active_clients].[cohort_year].&amp;[2020]"/>
            <x15:cachedUniqueName index="6" name="[3_active_clients].[cohort_year].&amp;[2021]"/>
            <x15:cachedUniqueName index="7" name="[3_active_clients].[cohort_year].&amp;[2022]"/>
            <x15:cachedUniqueName index="8" name="[3_active_clients].[cohort_year].&amp;[2023]"/>
          </x15:cachedUniqueNames>
        </ext>
      </extLst>
    </cacheField>
    <cacheField name="[Measures].[Sum of total_clients]" caption="Sum of total_clients" numFmtId="0" hierarchy="43" level="32767"/>
    <cacheField name="[Measures].[Sum of active_rate]" caption="Sum of active_rate" numFmtId="0" hierarchy="44" level="32767"/>
  </cacheFields>
  <cacheHierarchies count="45">
    <cacheHierarchy uniqueName="[1_client_categories].[ltv_category]" caption="ltv_category" attribute="1" defaultMemberUniqueName="[1_client_categories].[ltv_category].[All]" allUniqueName="[1_client_categories].[ltv_category].[All]" dimensionUniqueName="[1_client_categories]" displayFolder="" count="0" memberValueDatatype="130" unbalanced="0"/>
    <cacheHierarchy uniqueName="[1_client_categories].[total_ltv]" caption="total_ltv" attribute="1" defaultMemberUniqueName="[1_client_categories].[total_ltv].[All]" allUniqueName="[1_client_categories].[total_ltv].[All]" dimensionUniqueName="[1_client_categories]" displayFolder="" count="0" memberValueDatatype="5" unbalanced="0"/>
    <cacheHierarchy uniqueName="[1_client_categories].[ltv_pctg]" caption="ltv_pctg" attribute="1" defaultMemberUniqueName="[1_client_categories].[ltv_pctg].[All]" allUniqueName="[1_client_categories].[ltv_pctg].[All]" dimensionUniqueName="[1_client_categories]" displayFolder="" count="0" memberValueDatatype="5" unbalanced="0"/>
    <cacheHierarchy uniqueName="[1_client_categories].[customer_count]" caption="customer_count" attribute="1" defaultMemberUniqueName="[1_client_categories].[customer_count].[All]" allUniqueName="[1_client_categories].[customer_count].[All]" dimensionUniqueName="[1_client_categories]" displayFolder="" count="0" memberValueDatatype="20" unbalanced="0"/>
    <cacheHierarchy uniqueName="[1_client_categories].[avg_ltv]" caption="avg_ltv" attribute="1" defaultMemberUniqueName="[1_client_categories].[avg_ltv].[All]" allUniqueName="[1_client_categories].[avg_ltv].[All]" dimensionUniqueName="[1_client_categories]" displayFolder="" count="0" memberValueDatatype="5" unbalanced="0"/>
    <cacheHierarchy uniqueName="[1_client_categories].[category_cleaned]" caption="category_cleaned" attribute="1" defaultMemberUniqueName="[1_client_categories].[category_cleaned].[All]" allUniqueName="[1_client_categories].[category_cleaned].[All]" dimensionUniqueName="[1_client_categories]" displayFolder="" count="0" memberValueDatatype="130" unbalanced="0"/>
    <cacheHierarchy uniqueName="[1_client_categories].[ltc_percentage]" caption="ltc_percentage" attribute="1" defaultMemberUniqueName="[1_client_categories].[ltc_percentage].[All]" allUniqueName="[1_client_categories].[ltc_percentage].[All]" dimensionUniqueName="[1_client_categories]" displayFolder="" count="0" memberValueDatatype="5" unbalanced="0"/>
    <cacheHierarchy uniqueName="[2 1_client_revenue_by_cohort].[cohort_year]" caption="cohort_year" attribute="1" defaultMemberUniqueName="[2 1_client_revenue_by_cohort].[cohort_year].[All]" allUniqueName="[2 1_client_revenue_by_cohort].[cohort_year].[All]" dimensionUniqueName="[2 1_client_revenue_by_cohort]" displayFolder="" count="0" memberValueDatatype="20" unbalanced="0"/>
    <cacheHierarchy uniqueName="[2 1_client_revenue_by_cohort].[client_total_revenue]" caption="client_total_revenue" attribute="1" defaultMemberUniqueName="[2 1_client_revenue_by_cohort].[client_total_revenue].[All]" allUniqueName="[2 1_client_revenue_by_cohort].[client_total_revenue].[All]" dimensionUniqueName="[2 1_client_revenue_by_cohort]" displayFolder="" count="0" memberValueDatatype="5" unbalanced="0"/>
    <cacheHierarchy uniqueName="[2 1_client_revenue_by_cohort].[client_count]" caption="client_count" attribute="1" defaultMemberUniqueName="[2 1_client_revenue_by_cohort].[client_count].[All]" allUniqueName="[2 1_client_revenue_by_cohort].[client_count].[All]" dimensionUniqueName="[2 1_client_revenue_by_cohort]" displayFolder="" count="0" memberValueDatatype="20" unbalanced="0"/>
    <cacheHierarchy uniqueName="[2 1_client_revenue_by_cohort].[avg_client_revenue]" caption="avg_client_revenue" attribute="1" defaultMemberUniqueName="[2 1_client_revenue_by_cohort].[avg_client_revenue].[All]" allUniqueName="[2 1_client_revenue_by_cohort].[avg_client_revenue].[All]" dimensionUniqueName="[2 1_client_revenue_by_cohort]" displayFolder="" count="0" memberValueDatatype="5" unbalanced="0"/>
    <cacheHierarchy uniqueName="[2 2_Annual_Revenue_by_Client_Cohort].[years_since_first_order]" caption="years_since_first_order" attribute="1" defaultMemberUniqueName="[2 2_Annual_Revenue_by_Client_Cohort].[years_since_first_order].[All]" allUniqueName="[2 2_Annual_Revenue_by_Client_Cohort].[years_since_first_order].[All]" dimensionUniqueName="[2 2_Annual_Revenue_by_Client_Cohort]" displayFolder="" count="0" memberValueDatatype="20" unbalanced="0"/>
    <cacheHierarchy uniqueName="[2 2_Annual_Revenue_by_Client_Cohort].[client_total_revenue]" caption="client_total_revenue" attribute="1" defaultMemberUniqueName="[2 2_Annual_Revenue_by_Client_Cohort].[client_total_revenue].[All]" allUniqueName="[2 2_Annual_Revenue_by_Client_Cohort].[client_total_revenue].[All]" dimensionUniqueName="[2 2_Annual_Revenue_by_Client_Cohort]" displayFolder="" count="0" memberValueDatatype="5" unbalanced="0"/>
    <cacheHierarchy uniqueName="[2 2_Annual_Revenue_by_Client_Cohort].[total_revenue_percentage]" caption="total_revenue_percentage" attribute="1" defaultMemberUniqueName="[2 2_Annual_Revenue_by_Client_Cohort].[total_revenue_percentage].[All]" allUniqueName="[2 2_Annual_Revenue_by_Client_Cohort].[total_revenue_percentage].[All]" dimensionUniqueName="[2 2_Annual_Revenue_by_Client_Cohort]" displayFolder="" count="0" memberValueDatatype="5" unbalanced="0"/>
    <cacheHierarchy uniqueName="[2 2_Annual_Revenue_by_Client_Cohort].[Revenue Percentage]" caption="Revenue Percentage" attribute="1" defaultMemberUniqueName="[2 2_Annual_Revenue_by_Client_Cohort].[Revenue Percentage].[All]" allUniqueName="[2 2_Annual_Revenue_by_Client_Cohort].[Revenue Percentage].[All]" dimensionUniqueName="[2 2_Annual_Revenue_by_Client_Cohort]" displayFolder="" count="0" memberValueDatatype="5" unbalanced="0"/>
    <cacheHierarchy uniqueName="[2 3_Cohort_client_revenue_filtered].[cohort_year]" caption="cohort_year" attribute="1" defaultMemberUniqueName="[2 3_Cohort_client_revenue_filtered].[cohort_year].[All]" allUniqueName="[2 3_Cohort_client_revenue_filtered].[cohort_year].[All]" dimensionUniqueName="[2 3_Cohort_client_revenue_filtered]" displayFolder="" count="0" memberValueDatatype="20" unbalanced="0"/>
    <cacheHierarchy uniqueName="[2 3_Cohort_client_revenue_filtered].[cohort_profit]" caption="cohort_profit" attribute="1" defaultMemberUniqueName="[2 3_Cohort_client_revenue_filtered].[cohort_profit].[All]" allUniqueName="[2 3_Cohort_client_revenue_filtered].[cohort_profit].[All]" dimensionUniqueName="[2 3_Cohort_client_revenue_filtered]" displayFolder="" count="0" memberValueDatatype="5" unbalanced="0"/>
    <cacheHierarchy uniqueName="[2 3_Cohort_client_revenue_filtered].[customer_count]" caption="customer_count" attribute="1" defaultMemberUniqueName="[2 3_Cohort_client_revenue_filtered].[customer_count].[All]" allUniqueName="[2 3_Cohort_client_revenue_filtered].[customer_count].[All]" dimensionUniqueName="[2 3_Cohort_client_revenue_filtered]" displayFolder="" count="0" memberValueDatatype="20" unbalanced="0"/>
    <cacheHierarchy uniqueName="[2 3_Cohort_client_revenue_filtered].[customer_revenue]" caption="customer_revenue" attribute="1" defaultMemberUniqueName="[2 3_Cohort_client_revenue_filtered].[customer_revenue].[All]" allUniqueName="[2 3_Cohort_client_revenue_filtered].[customer_revenue].[All]" dimensionUniqueName="[2 3_Cohort_client_revenue_filtered]" displayFolder="" count="0" memberValueDatatype="5" unbalanced="0"/>
    <cacheHierarchy uniqueName="[3_active_clients].[client_status]" caption="client_status" attribute="1" defaultMemberUniqueName="[3_active_clients].[client_status].[All]" allUniqueName="[3_active_clients].[client_status].[All]" dimensionUniqueName="[3_active_clients]" displayFolder="" count="2" memberValueDatatype="130" unbalanced="0">
      <fieldsUsage count="2">
        <fieldUsage x="-1"/>
        <fieldUsage x="0"/>
      </fieldsUsage>
    </cacheHierarchy>
    <cacheHierarchy uniqueName="[3_active_clients].[cohort_year]" caption="cohort_year" attribute="1" defaultMemberUniqueName="[3_active_clients].[cohort_year].[All]" allUniqueName="[3_active_clients].[cohort_year].[All]" dimensionUniqueName="[3_active_clients]" displayFolder="" count="2" memberValueDatatype="20" unbalanced="0">
      <fieldsUsage count="2">
        <fieldUsage x="-1"/>
        <fieldUsage x="1"/>
      </fieldsUsage>
    </cacheHierarchy>
    <cacheHierarchy uniqueName="[3_active_clients].[total_clients]" caption="total_clients" attribute="1" defaultMemberUniqueName="[3_active_clients].[total_clients].[All]" allUniqueName="[3_active_clients].[total_clients].[All]" dimensionUniqueName="[3_active_clients]" displayFolder="" count="0" memberValueDatatype="20" unbalanced="0"/>
    <cacheHierarchy uniqueName="[3_active_clients].[active_rate]" caption="active_rate" attribute="1" defaultMemberUniqueName="[3_active_clients].[active_rate].[All]" allUniqueName="[3_active_clients].[active_rate].[All]" dimensionUniqueName="[3_active_clients]" displayFolder="" count="0" memberValueDatatype="5" unbalanced="0"/>
    <cacheHierarchy uniqueName="[Measures].[__XL_Count 1_client_categories]" caption="__XL_Count 1_client_categories" measure="1" displayFolder="" measureGroup="1_client_categories" count="0" hidden="1"/>
    <cacheHierarchy uniqueName="[Measures].[__XL_Count 2 1_client_revenue_by_cohort]" caption="__XL_Count 2 1_client_revenue_by_cohort" measure="1" displayFolder="" measureGroup="2 1_client_revenue_by_cohort" count="0" hidden="1"/>
    <cacheHierarchy uniqueName="[Measures].[__XL_Count 2 2_Annual_Revenue_by_Client_Cohort]" caption="__XL_Count 2 2_Annual_Revenue_by_Client_Cohort" measure="1" displayFolder="" measureGroup="2 2_Annual_Revenue_by_Client_Cohort" count="0" hidden="1"/>
    <cacheHierarchy uniqueName="[Measures].[__XL_Count 2 3_Cohort_client_revenue_filtered]" caption="__XL_Count 2 3_Cohort_client_revenue_filtered" measure="1" displayFolder="" measureGroup="2 3_Cohort_client_revenue_filtered" count="0" hidden="1"/>
    <cacheHierarchy uniqueName="[Measures].[__XL_Count 3_active_clients]" caption="__XL_Count 3_active_clients" measure="1" displayFolder="" measureGroup="3_active_client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tv_pctg]" caption="Sum of ltv_pctg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count]" caption="Sum of customer_count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ltv]" caption="Sum of avg_ltv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ltc_percentage]" caption="Sum of ltc_percentage" measure="1" displayFolder="" measureGroup="1_client_categori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lient_total_revenue]" caption="Sum of client_total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lient_count]" caption="Sum of client_count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g_client_revenue]" caption="Sum of avg_client_revenue" measure="1" displayFolder="" measureGroup="2 1_client_revenue_by_cohor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lient_total_revenue 2]" caption="Sum of client_total_revenue 2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_revenue_percentage]" caption="Sum of total_revenue_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evenue Percentage]" caption="Sum of Revenue Percentage" measure="1" displayFolder="" measureGroup="2 2_Annual_Revenue_by_Client_Cohor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ohort_profit]" caption="Sum of cohort_profit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_count 2]" caption="Sum of customer_count 2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customer_revenue]" caption="Sum of customer_revenue" measure="1" displayFolder="" measureGroup="2 3_Cohort_client_revenue_filtered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_clients]" caption="Sum of total_clients" measure="1" displayFolder="" measureGroup="3_active_cli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ctive_rate]" caption="Sum of active_rate" measure="1" displayFolder="" measureGroup="3_active_clien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1_client_categories" uniqueName="[1_client_categories]" caption="1_client_categories"/>
    <dimension name="2 1_client_revenue_by_cohort" uniqueName="[2 1_client_revenue_by_cohort]" caption="2 1_client_revenue_by_cohort"/>
    <dimension name="2 2_Annual_Revenue_by_Client_Cohort" uniqueName="[2 2_Annual_Revenue_by_Client_Cohort]" caption="2 2_Annual_Revenue_by_Client_Cohort"/>
    <dimension name="2 3_Cohort_client_revenue_filtered" uniqueName="[2 3_Cohort_client_revenue_filtered]" caption="2 3_Cohort_client_revenue_filtered"/>
    <dimension name="3_active_clients" uniqueName="[3_active_clients]" caption="3_active_clients"/>
    <dimension measure="1" name="Measures" uniqueName="[Measures]" caption="Measures"/>
  </dimensions>
  <measureGroups count="5">
    <measureGroup name="1_client_categories" caption="1_client_categories"/>
    <measureGroup name="2 1_client_revenue_by_cohort" caption="2 1_client_revenue_by_cohort"/>
    <measureGroup name="2 2_Annual_Revenue_by_Client_Cohort" caption="2 2_Annual_Revenue_by_Client_Cohort"/>
    <measureGroup name="2 3_Cohort_client_revenue_filtered" caption="2 3_Cohort_client_revenue_filtered"/>
    <measureGroup name="3_active_clients" caption="3_active_clients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10C61-870C-4A87-B82B-2D1C7AAD9B24}" name="PivotTable1" cacheId="305" applyNumberFormats="0" applyBorderFormats="0" applyFontFormats="0" applyPatternFormats="0" applyAlignmentFormats="0" applyWidthHeightFormats="1" dataCaption="Values" tag="7415c0f7-f220-4a59-b152-b3516631cf5a" updatedVersion="8" minRefreshableVersion="3" useAutoFormatting="1" subtotalHiddenItems="1" itemPrintTitles="1" createdVersion="8" indent="0" outline="1" outlineData="1" multipleFieldFilters="0" chartFormat="10" rowHeaderCaption="Category">
  <location ref="A1:E5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LTV" fld="1" baseField="0" baseItem="0" numFmtId="165"/>
    <dataField name="LTV Percentage" fld="4" baseField="0" baseItem="0" numFmtId="9"/>
    <dataField name="Client Count" fld="2" baseField="0" baseItem="0" numFmtId="170"/>
    <dataField name="Average LTV" fld="3" baseField="0" baseItem="0" numFmtId="170"/>
  </dataFields>
  <formats count="4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LTV"/>
    <pivotHierarchy dragToData="1"/>
    <pivotHierarchy dragToData="1" caption="Client Count"/>
    <pivotHierarchy dragToData="1" caption="Average LTV"/>
    <pivotHierarchy dragToData="1" caption="LTV Percent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21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1_client_catego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C7465-C994-4FC9-9D9C-04B65D028D41}" name="PivotTable4" cacheId="348" applyNumberFormats="0" applyBorderFormats="0" applyFontFormats="0" applyPatternFormats="0" applyAlignmentFormats="0" applyWidthHeightFormats="1" dataCaption="Values" tag="dcc66be2-dbcd-4a42-bfcf-88d6d91ffa0c" updatedVersion="8" minRefreshableVersion="3" useAutoFormatting="1" itemPrintTitles="1" createdVersion="8" indent="0" outline="1" outlineData="1" multipleFieldFilters="0" chartFormat="17" rowHeaderCaption="Cohort Year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lient Total Revenue" fld="1" baseField="0" baseItem="0"/>
    <dataField name="Client Count" fld="2" baseField="0" baseItem="0"/>
    <dataField name="Average Client Revenue " fld="3" baseField="0" baseItem="0"/>
  </dataFields>
  <formats count="6">
    <format dxfId="19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6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lient Total Revenue"/>
    <pivotHierarchy dragToData="1" caption="Client Count"/>
    <pivotHierarchy dragToData="1" caption="Average Client Revenue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2 1_client_revenue_by_cohor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16198-9E06-4BFE-9D57-20A346F9A3F5}" name="PivotTable5" cacheId="345" applyNumberFormats="0" applyBorderFormats="0" applyFontFormats="0" applyPatternFormats="0" applyAlignmentFormats="0" applyWidthHeightFormats="1" dataCaption="Values" tag="2b6564fb-f4a4-49aa-b949-99b9c30b922c" updatedVersion="8" minRefreshableVersion="3" useAutoFormatting="1" subtotalHiddenItems="1" itemPrintTitles="1" createdVersion="8" indent="0" outline="1" outlineData="1" multipleFieldFilters="0" chartFormat="10" rowHeaderCaption="Years Since First Order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" baseField="0" baseItem="0" numFmtId="165"/>
    <dataField name="Total Revenue Percentage" fld="2" baseField="0" baseItem="0" numFmtId="9"/>
  </dataFields>
  <formats count="3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evenue"/>
    <pivotHierarchy dragToData="1"/>
    <pivotHierarchy dragToData="1" caption="Total Revenue Percentag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2 2_Annual_Revenue_by_Client_Cohor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67545-D060-42A7-9BDA-E71611BD5A08}" name="PivotTable10" cacheId="342" applyNumberFormats="0" applyBorderFormats="0" applyFontFormats="0" applyPatternFormats="0" applyAlignmentFormats="0" applyWidthHeightFormats="1" dataCaption="Values" tag="5e271efd-a5e0-4c54-a7b2-57fb8c60e0f5" updatedVersion="8" minRefreshableVersion="3" useAutoFormatting="1" itemPrintTitles="1" createdVersion="8" indent="0" outline="1" outlineData="1" multipleFieldFilters="0" rowHeaderCaption="Cohort Year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ohort Revenue" fld="1" baseField="0" baseItem="0" numFmtId="165"/>
    <dataField name="Client Count" fld="2" baseField="0" baseItem="0" numFmtId="170"/>
    <dataField name="Average Client Revenue" fld="3" baseField="0" baseItem="0" numFmtId="165"/>
  </dataFields>
  <formats count="3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Cohort Revenue"/>
    <pivotHierarchy dragToData="1" caption="Client Count"/>
    <pivotHierarchy dragToData="1" caption="Average Client Revenue"/>
    <pivotHierarchy dragToData="1"/>
    <pivotHierarchy dragToData="1"/>
  </pivotHierarchies>
  <pivotTableStyleInfo name="PivotStyleLight20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2 3_Cohort_client_revenue_filter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A935C-7042-469E-8D43-3AA58FED23D8}" name="PivotTable13" cacheId="366" applyNumberFormats="0" applyBorderFormats="0" applyFontFormats="0" applyPatternFormats="0" applyAlignmentFormats="0" applyWidthHeightFormats="1" dataCaption="Values" tag="fd28caf0-81f5-4dbd-b742-38e4d26b23f8" updatedVersion="8" minRefreshableVersion="3" useAutoFormatting="1" itemPrintTitles="1" createdVersion="8" indent="0" outline="1" outlineData="1" multipleFieldFilters="0" rowHeaderCaption="Client Status">
  <location ref="A1:C22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lients" fld="2" baseField="0" baseItem="0"/>
    <dataField name="Rate Active" fld="3" baseField="0" baseItem="0"/>
  </dataFields>
  <formats count="4">
    <format dxfId="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0"/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0"/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Clients"/>
    <pivotHierarchy dragToData="1" caption="Rate Active"/>
  </pivotHierarchies>
  <pivotTableStyleInfo name="PivotStyleLight19" showRowHeaders="1" showColHeaders="1" showRowStripes="0" showColStripes="0" showLastColumn="1"/>
  <rowHierarchiesUsage count="2">
    <rowHierarchyUsage hierarchyUsage="19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3_active_cli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="130" zoomScaleNormal="130" workbookViewId="0">
      <selection activeCell="F9" sqref="F9"/>
    </sheetView>
  </sheetViews>
  <sheetFormatPr defaultRowHeight="14.4" x14ac:dyDescent="0.3"/>
  <cols>
    <col min="1" max="1" width="14" bestFit="1" customWidth="1"/>
    <col min="2" max="2" width="13.5546875" bestFit="1" customWidth="1"/>
    <col min="3" max="3" width="14.109375" bestFit="1" customWidth="1"/>
    <col min="4" max="4" width="11.33203125" bestFit="1" customWidth="1"/>
    <col min="5" max="5" width="12.77734375" customWidth="1"/>
    <col min="6" max="6" width="13.6640625" bestFit="1" customWidth="1"/>
  </cols>
  <sheetData>
    <row r="1" spans="1:5" x14ac:dyDescent="0.3">
      <c r="A1" s="1" t="s">
        <v>15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s="2" t="s">
        <v>0</v>
      </c>
      <c r="B2" s="4">
        <v>4341809.5273281401</v>
      </c>
      <c r="C2" s="5">
        <v>2.1035130582907412E-2</v>
      </c>
      <c r="D2" s="7">
        <v>12372</v>
      </c>
      <c r="E2" s="7">
        <v>350.93837110638054</v>
      </c>
    </row>
    <row r="3" spans="1:5" x14ac:dyDescent="0.3">
      <c r="A3" s="2" t="s">
        <v>1</v>
      </c>
      <c r="B3" s="4">
        <v>66636451.787238859</v>
      </c>
      <c r="C3" s="5">
        <v>0.32283923467936293</v>
      </c>
      <c r="D3" s="7">
        <v>24743</v>
      </c>
      <c r="E3" s="7">
        <v>2693.1435875697716</v>
      </c>
    </row>
    <row r="4" spans="1:5" x14ac:dyDescent="0.3">
      <c r="A4" s="2" t="s">
        <v>2</v>
      </c>
      <c r="B4" s="4">
        <v>135429277.26549876</v>
      </c>
      <c r="C4" s="5">
        <v>0.65612563473773933</v>
      </c>
      <c r="D4" s="7">
        <v>12372</v>
      </c>
      <c r="E4" s="7">
        <v>10946.433661938147</v>
      </c>
    </row>
    <row r="5" spans="1:5" x14ac:dyDescent="0.3">
      <c r="A5" s="2" t="s">
        <v>3</v>
      </c>
      <c r="B5" s="4">
        <v>206407538.58006576</v>
      </c>
      <c r="C5" s="5">
        <v>1.0000000000000098</v>
      </c>
      <c r="D5" s="7">
        <v>49487</v>
      </c>
      <c r="E5" s="7">
        <v>13990.515620614298</v>
      </c>
    </row>
  </sheetData>
  <sheetProtection sheet="1" objects="1" scenarios="1" selectLockedCells="1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40B9-7B7C-480B-900D-B4EEBB10551C}">
  <dimension ref="A1:I19"/>
  <sheetViews>
    <sheetView zoomScale="115" zoomScaleNormal="115" workbookViewId="0">
      <selection activeCell="C19" sqref="C19"/>
    </sheetView>
  </sheetViews>
  <sheetFormatPr defaultRowHeight="14.4" x14ac:dyDescent="0.3"/>
  <cols>
    <col min="1" max="1" width="13.109375" bestFit="1" customWidth="1"/>
    <col min="2" max="2" width="18.44140625" bestFit="1" customWidth="1"/>
    <col min="3" max="3" width="11.33203125" bestFit="1" customWidth="1"/>
    <col min="4" max="4" width="21.77734375" bestFit="1" customWidth="1"/>
  </cols>
  <sheetData>
    <row r="1" spans="1:9" x14ac:dyDescent="0.3">
      <c r="A1" s="1" t="s">
        <v>14</v>
      </c>
      <c r="B1" t="s">
        <v>8</v>
      </c>
      <c r="C1" t="s">
        <v>6</v>
      </c>
      <c r="D1" t="s">
        <v>10</v>
      </c>
    </row>
    <row r="2" spans="1:9" x14ac:dyDescent="0.3">
      <c r="A2" s="2">
        <v>2015</v>
      </c>
      <c r="B2" s="4">
        <v>14892230.469868412</v>
      </c>
      <c r="C2" s="7">
        <v>2825</v>
      </c>
      <c r="D2" s="4">
        <v>5271.5860070330664</v>
      </c>
    </row>
    <row r="3" spans="1:9" x14ac:dyDescent="0.3">
      <c r="A3" s="2">
        <v>2016</v>
      </c>
      <c r="B3" s="4">
        <v>18360521.738402583</v>
      </c>
      <c r="C3" s="7">
        <v>3397</v>
      </c>
      <c r="D3" s="4">
        <v>5404.9225017375866</v>
      </c>
    </row>
    <row r="4" spans="1:9" x14ac:dyDescent="0.3">
      <c r="A4" s="2">
        <v>2017</v>
      </c>
      <c r="B4" s="4">
        <v>21979733.964086462</v>
      </c>
      <c r="C4" s="7">
        <v>4068</v>
      </c>
      <c r="D4" s="4">
        <v>5403.0811121156494</v>
      </c>
    </row>
    <row r="5" spans="1:9" x14ac:dyDescent="0.3">
      <c r="A5" s="2">
        <v>2018</v>
      </c>
      <c r="B5" s="4">
        <v>36460385.423763402</v>
      </c>
      <c r="C5" s="7">
        <v>7446</v>
      </c>
      <c r="D5" s="4">
        <v>4896.6405350206023</v>
      </c>
    </row>
    <row r="6" spans="1:9" x14ac:dyDescent="0.3">
      <c r="A6" s="2">
        <v>2019</v>
      </c>
      <c r="B6" s="4">
        <v>36696243.876580402</v>
      </c>
      <c r="C6" s="7">
        <v>7755</v>
      </c>
      <c r="D6" s="4">
        <v>4731.9463412740688</v>
      </c>
    </row>
    <row r="7" spans="1:9" x14ac:dyDescent="0.3">
      <c r="A7" s="2">
        <v>2020</v>
      </c>
      <c r="B7" s="4">
        <v>11921900.968580445</v>
      </c>
      <c r="C7" s="7">
        <v>3031</v>
      </c>
      <c r="D7" s="4">
        <v>3933.3226554207999</v>
      </c>
    </row>
    <row r="8" spans="1:9" x14ac:dyDescent="0.3">
      <c r="A8" s="2">
        <v>2021</v>
      </c>
      <c r="B8" s="4">
        <v>18387736.179385621</v>
      </c>
      <c r="C8" s="7">
        <v>4663</v>
      </c>
      <c r="D8" s="4">
        <v>3943.327510054819</v>
      </c>
    </row>
    <row r="9" spans="1:9" x14ac:dyDescent="0.3">
      <c r="A9" s="2">
        <v>2022</v>
      </c>
      <c r="B9" s="4">
        <v>29872808.298764743</v>
      </c>
      <c r="C9" s="7">
        <v>9010</v>
      </c>
      <c r="D9" s="4">
        <v>3315.5170142913144</v>
      </c>
      <c r="H9" t="str" cm="1">
        <f t="array" ref="H9:H19">A1:A11</f>
        <v>Cohort Year</v>
      </c>
      <c r="I9" t="str" cm="1">
        <f t="array" ref="I9:I19">D1:D11</f>
        <v xml:space="preserve">Average Client Revenue </v>
      </c>
    </row>
    <row r="10" spans="1:9" x14ac:dyDescent="0.3">
      <c r="A10" s="2">
        <v>2023</v>
      </c>
      <c r="B10" s="4">
        <v>14979328.333089933</v>
      </c>
      <c r="C10" s="7">
        <v>5890</v>
      </c>
      <c r="D10" s="4">
        <v>2543.1796830373401</v>
      </c>
      <c r="H10">
        <v>2015</v>
      </c>
      <c r="I10">
        <v>5271.5860070330664</v>
      </c>
    </row>
    <row r="11" spans="1:9" x14ac:dyDescent="0.3">
      <c r="A11" s="2">
        <v>2024</v>
      </c>
      <c r="B11" s="4">
        <v>2856649.3275427977</v>
      </c>
      <c r="C11" s="7">
        <v>1402</v>
      </c>
      <c r="D11" s="4">
        <v>2037.5530153657614</v>
      </c>
      <c r="H11">
        <v>2016</v>
      </c>
      <c r="I11">
        <v>5404.9225017375866</v>
      </c>
    </row>
    <row r="12" spans="1:9" x14ac:dyDescent="0.3">
      <c r="A12" s="2" t="s">
        <v>3</v>
      </c>
      <c r="B12" s="4">
        <v>206407538.5800648</v>
      </c>
      <c r="C12" s="7">
        <v>49487</v>
      </c>
      <c r="D12" s="4">
        <v>41481.076375351011</v>
      </c>
      <c r="H12">
        <v>2017</v>
      </c>
      <c r="I12">
        <v>5403.0811121156494</v>
      </c>
    </row>
    <row r="13" spans="1:9" x14ac:dyDescent="0.3">
      <c r="H13">
        <v>2018</v>
      </c>
      <c r="I13">
        <v>4896.6405350206023</v>
      </c>
    </row>
    <row r="14" spans="1:9" x14ac:dyDescent="0.3">
      <c r="H14">
        <v>2019</v>
      </c>
      <c r="I14">
        <v>4731.9463412740688</v>
      </c>
    </row>
    <row r="15" spans="1:9" x14ac:dyDescent="0.3">
      <c r="H15">
        <v>2020</v>
      </c>
      <c r="I15">
        <v>3933.3226554207999</v>
      </c>
    </row>
    <row r="16" spans="1:9" x14ac:dyDescent="0.3">
      <c r="H16">
        <v>2021</v>
      </c>
      <c r="I16">
        <v>3943.327510054819</v>
      </c>
    </row>
    <row r="17" spans="8:9" x14ac:dyDescent="0.3">
      <c r="H17">
        <v>2022</v>
      </c>
      <c r="I17">
        <v>3315.5170142913144</v>
      </c>
    </row>
    <row r="18" spans="8:9" x14ac:dyDescent="0.3">
      <c r="H18">
        <v>2023</v>
      </c>
      <c r="I18">
        <v>2543.1796830373401</v>
      </c>
    </row>
    <row r="19" spans="8:9" x14ac:dyDescent="0.3">
      <c r="H19">
        <v>2024</v>
      </c>
      <c r="I19">
        <v>2037.5530153657614</v>
      </c>
    </row>
  </sheetData>
  <sheetProtection sheet="1" objects="1" scenarios="1" selectLockedCells="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83EB-0367-47C5-A2A4-4402C690EE4D}">
  <dimension ref="A1:F15"/>
  <sheetViews>
    <sheetView zoomScale="115" zoomScaleNormal="115" workbookViewId="0">
      <selection activeCell="O12" sqref="O12"/>
    </sheetView>
  </sheetViews>
  <sheetFormatPr defaultRowHeight="14.4" x14ac:dyDescent="0.3"/>
  <cols>
    <col min="1" max="1" width="21.88671875" bestFit="1" customWidth="1"/>
    <col min="2" max="2" width="13.88671875" bestFit="1" customWidth="1"/>
    <col min="3" max="3" width="23.21875" bestFit="1" customWidth="1"/>
    <col min="4" max="4" width="16.33203125" customWidth="1"/>
  </cols>
  <sheetData>
    <row r="1" spans="1:6" x14ac:dyDescent="0.3">
      <c r="A1" s="1" t="s">
        <v>11</v>
      </c>
      <c r="B1" t="s">
        <v>13</v>
      </c>
      <c r="C1" t="s">
        <v>12</v>
      </c>
    </row>
    <row r="2" spans="1:6" x14ac:dyDescent="0.3">
      <c r="A2" s="2">
        <v>0</v>
      </c>
      <c r="B2" s="4">
        <v>145176064.69575754</v>
      </c>
      <c r="C2" s="9">
        <v>0.70334671734600518</v>
      </c>
    </row>
    <row r="3" spans="1:6" x14ac:dyDescent="0.3">
      <c r="A3" s="2">
        <v>1</v>
      </c>
      <c r="B3" s="4">
        <v>13220583.805858472</v>
      </c>
      <c r="C3" s="9">
        <v>6.4050876711221699E-2</v>
      </c>
    </row>
    <row r="4" spans="1:6" x14ac:dyDescent="0.3">
      <c r="A4" s="2">
        <v>2</v>
      </c>
      <c r="B4" s="4">
        <v>11477030.028432472</v>
      </c>
      <c r="C4" s="9">
        <v>5.5603734763692098E-2</v>
      </c>
    </row>
    <row r="5" spans="1:6" x14ac:dyDescent="0.3">
      <c r="A5" s="2">
        <v>3</v>
      </c>
      <c r="B5" s="4">
        <v>12593526.070358003</v>
      </c>
      <c r="C5" s="9">
        <v>6.1012917246106364E-2</v>
      </c>
      <c r="E5" t="str" cm="1">
        <f t="array" ref="E5:E15">A1:A11</f>
        <v>Years Since First Order</v>
      </c>
      <c r="F5" t="str" cm="1">
        <f t="array" ref="F5:F15">C1:C11</f>
        <v>Total Revenue Percentage</v>
      </c>
    </row>
    <row r="6" spans="1:6" x14ac:dyDescent="0.3">
      <c r="A6" s="2">
        <v>4</v>
      </c>
      <c r="B6" s="4">
        <v>9752521.2984866016</v>
      </c>
      <c r="C6" s="9">
        <v>4.724886196297344E-2</v>
      </c>
      <c r="E6">
        <v>0</v>
      </c>
      <c r="F6" s="10">
        <v>0.70334671734600518</v>
      </c>
    </row>
    <row r="7" spans="1:6" x14ac:dyDescent="0.3">
      <c r="A7" s="2">
        <v>5</v>
      </c>
      <c r="B7" s="4">
        <v>6804323.1077321246</v>
      </c>
      <c r="C7" s="9">
        <v>3.2965477688174399E-2</v>
      </c>
      <c r="E7">
        <v>1</v>
      </c>
      <c r="F7" s="10">
        <v>6.4050876711221699E-2</v>
      </c>
    </row>
    <row r="8" spans="1:6" x14ac:dyDescent="0.3">
      <c r="A8" s="2">
        <v>6</v>
      </c>
      <c r="B8" s="4">
        <v>4092419.4961759169</v>
      </c>
      <c r="C8" s="9">
        <v>1.9826889678200777E-2</v>
      </c>
      <c r="E8">
        <v>2</v>
      </c>
      <c r="F8" s="10">
        <v>5.5603734763692098E-2</v>
      </c>
    </row>
    <row r="9" spans="1:6" x14ac:dyDescent="0.3">
      <c r="A9" s="2">
        <v>7</v>
      </c>
      <c r="B9" s="4">
        <v>2348837.9784937301</v>
      </c>
      <c r="C9" s="9">
        <v>1.1379613335113838E-2</v>
      </c>
      <c r="E9">
        <v>3</v>
      </c>
      <c r="F9" s="10">
        <v>6.1012917246106364E-2</v>
      </c>
    </row>
    <row r="10" spans="1:6" x14ac:dyDescent="0.3">
      <c r="A10" s="2">
        <v>8</v>
      </c>
      <c r="B10" s="4">
        <v>894663.19573022134</v>
      </c>
      <c r="C10" s="9">
        <v>4.3344501944302012E-3</v>
      </c>
      <c r="E10">
        <v>4</v>
      </c>
      <c r="F10" s="10">
        <v>4.724886196297344E-2</v>
      </c>
    </row>
    <row r="11" spans="1:6" x14ac:dyDescent="0.3">
      <c r="A11" s="2">
        <v>9</v>
      </c>
      <c r="B11" s="4">
        <v>47568.903039726982</v>
      </c>
      <c r="C11" s="9">
        <v>2.3046107408172567E-4</v>
      </c>
      <c r="E11">
        <v>5</v>
      </c>
      <c r="F11" s="10">
        <v>3.2965477688174399E-2</v>
      </c>
    </row>
    <row r="12" spans="1:6" x14ac:dyDescent="0.3">
      <c r="A12" s="2" t="s">
        <v>3</v>
      </c>
      <c r="B12" s="4">
        <v>206407538.58006474</v>
      </c>
      <c r="C12" s="5">
        <v>0.99999999999999967</v>
      </c>
      <c r="E12">
        <v>6</v>
      </c>
      <c r="F12" s="10">
        <v>1.9826889678200777E-2</v>
      </c>
    </row>
    <row r="13" spans="1:6" x14ac:dyDescent="0.3">
      <c r="E13">
        <v>7</v>
      </c>
      <c r="F13" s="10">
        <v>1.1379613335113838E-2</v>
      </c>
    </row>
    <row r="14" spans="1:6" x14ac:dyDescent="0.3">
      <c r="E14">
        <v>8</v>
      </c>
      <c r="F14" s="10">
        <v>4.3344501944302012E-3</v>
      </c>
    </row>
    <row r="15" spans="1:6" x14ac:dyDescent="0.3">
      <c r="E15">
        <v>9</v>
      </c>
      <c r="F15" s="10">
        <v>2.3046107408172567E-4</v>
      </c>
    </row>
  </sheetData>
  <sheetProtection sheet="1" objects="1" scenarios="1" selectLockedCells="1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C3B7-4747-4476-B62B-94D067B96A8E}">
  <dimension ref="A1:I19"/>
  <sheetViews>
    <sheetView zoomScale="115" zoomScaleNormal="115" workbookViewId="0">
      <selection activeCell="P13" sqref="P13"/>
    </sheetView>
  </sheetViews>
  <sheetFormatPr defaultRowHeight="14.4" x14ac:dyDescent="0.3"/>
  <cols>
    <col min="1" max="1" width="13.109375" bestFit="1" customWidth="1"/>
    <col min="2" max="2" width="19.44140625" bestFit="1" customWidth="1"/>
    <col min="3" max="3" width="11.33203125" bestFit="1" customWidth="1"/>
    <col min="4" max="4" width="21.21875" bestFit="1" customWidth="1"/>
  </cols>
  <sheetData>
    <row r="1" spans="1:9" x14ac:dyDescent="0.3">
      <c r="A1" s="1" t="s">
        <v>14</v>
      </c>
      <c r="B1" t="s">
        <v>16</v>
      </c>
      <c r="C1" t="s">
        <v>6</v>
      </c>
      <c r="D1" t="s">
        <v>9</v>
      </c>
    </row>
    <row r="2" spans="1:9" x14ac:dyDescent="0.3">
      <c r="A2" s="2">
        <v>2015</v>
      </c>
      <c r="B2" s="4">
        <v>7245612.9773862874</v>
      </c>
      <c r="C2" s="7">
        <v>2825</v>
      </c>
      <c r="D2" s="4">
        <v>2564.8187530570931</v>
      </c>
    </row>
    <row r="3" spans="1:9" x14ac:dyDescent="0.3">
      <c r="A3" s="2">
        <v>2016</v>
      </c>
      <c r="B3" s="4">
        <v>9839134.3406235334</v>
      </c>
      <c r="C3" s="7">
        <v>3397</v>
      </c>
      <c r="D3" s="4">
        <v>2896.41870492303</v>
      </c>
    </row>
    <row r="4" spans="1:9" x14ac:dyDescent="0.3">
      <c r="A4" s="2">
        <v>2017</v>
      </c>
      <c r="B4" s="4">
        <v>11771496.313936569</v>
      </c>
      <c r="C4" s="7">
        <v>4068</v>
      </c>
      <c r="D4" s="4">
        <v>2893.6814931014183</v>
      </c>
    </row>
    <row r="5" spans="1:9" x14ac:dyDescent="0.3">
      <c r="A5" s="2">
        <v>2018</v>
      </c>
      <c r="B5" s="4">
        <v>19773770.555444762</v>
      </c>
      <c r="C5" s="7">
        <v>7446</v>
      </c>
      <c r="D5" s="4">
        <v>2655.6232279673332</v>
      </c>
    </row>
    <row r="6" spans="1:9" x14ac:dyDescent="0.3">
      <c r="A6" s="2">
        <v>2019</v>
      </c>
      <c r="B6" s="4">
        <v>22245058.216363013</v>
      </c>
      <c r="C6" s="7">
        <v>7755</v>
      </c>
      <c r="D6" s="4">
        <v>2868.4794605239217</v>
      </c>
    </row>
    <row r="7" spans="1:9" x14ac:dyDescent="0.3">
      <c r="A7" s="2">
        <v>2020</v>
      </c>
      <c r="B7" s="4">
        <v>7058614.5232824879</v>
      </c>
      <c r="C7" s="7">
        <v>3031</v>
      </c>
      <c r="D7" s="4">
        <v>2328.8071670348031</v>
      </c>
    </row>
    <row r="8" spans="1:9" x14ac:dyDescent="0.3">
      <c r="A8" s="2">
        <v>2021</v>
      </c>
      <c r="B8" s="4">
        <v>11974082.363847343</v>
      </c>
      <c r="C8" s="7">
        <v>4663</v>
      </c>
      <c r="D8" s="4">
        <v>2567.8924220131553</v>
      </c>
    </row>
    <row r="9" spans="1:9" x14ac:dyDescent="0.3">
      <c r="A9" s="2">
        <v>2022</v>
      </c>
      <c r="B9" s="4">
        <v>21507554.550173171</v>
      </c>
      <c r="C9" s="7">
        <v>9010</v>
      </c>
      <c r="D9" s="4">
        <v>2387.0759767117838</v>
      </c>
      <c r="H9" t="str" cm="1">
        <f t="array" ref="H9:H19">A1:A11</f>
        <v>Cohort Year</v>
      </c>
      <c r="I9" t="str" cm="1">
        <f t="array" ref="I9:I19">D1:D11</f>
        <v>Average Client Revenue</v>
      </c>
    </row>
    <row r="10" spans="1:9" x14ac:dyDescent="0.3">
      <c r="A10" s="2">
        <v>2023</v>
      </c>
      <c r="B10" s="4">
        <v>12890580.83980028</v>
      </c>
      <c r="C10" s="7">
        <v>5890</v>
      </c>
      <c r="D10" s="4">
        <v>2188.5536230560747</v>
      </c>
      <c r="H10">
        <v>2015</v>
      </c>
      <c r="I10">
        <v>2564.8187530570931</v>
      </c>
    </row>
    <row r="11" spans="1:9" x14ac:dyDescent="0.3">
      <c r="A11" s="2">
        <v>2024</v>
      </c>
      <c r="B11" s="4">
        <v>2764779.6608598051</v>
      </c>
      <c r="C11" s="7">
        <v>1402</v>
      </c>
      <c r="D11" s="4">
        <v>1972.0254357059951</v>
      </c>
      <c r="H11">
        <v>2016</v>
      </c>
      <c r="I11">
        <v>2896.41870492303</v>
      </c>
    </row>
    <row r="12" spans="1:9" x14ac:dyDescent="0.3">
      <c r="A12" s="2" t="s">
        <v>3</v>
      </c>
      <c r="B12" s="4">
        <v>127070684.34171724</v>
      </c>
      <c r="C12" s="7">
        <v>49487</v>
      </c>
      <c r="D12" s="4">
        <v>25323.376264094612</v>
      </c>
      <c r="H12">
        <v>2017</v>
      </c>
      <c r="I12">
        <v>2893.6814931014183</v>
      </c>
    </row>
    <row r="13" spans="1:9" x14ac:dyDescent="0.3">
      <c r="H13">
        <v>2018</v>
      </c>
      <c r="I13">
        <v>2655.6232279673332</v>
      </c>
    </row>
    <row r="14" spans="1:9" x14ac:dyDescent="0.3">
      <c r="H14">
        <v>2019</v>
      </c>
      <c r="I14">
        <v>2868.4794605239217</v>
      </c>
    </row>
    <row r="15" spans="1:9" x14ac:dyDescent="0.3">
      <c r="H15">
        <v>2020</v>
      </c>
      <c r="I15">
        <v>2328.8071670348031</v>
      </c>
    </row>
    <row r="16" spans="1:9" x14ac:dyDescent="0.3">
      <c r="H16">
        <v>2021</v>
      </c>
      <c r="I16">
        <v>2567.8924220131553</v>
      </c>
    </row>
    <row r="17" spans="8:9" x14ac:dyDescent="0.3">
      <c r="H17">
        <v>2022</v>
      </c>
      <c r="I17">
        <v>2387.0759767117838</v>
      </c>
    </row>
    <row r="18" spans="8:9" x14ac:dyDescent="0.3">
      <c r="H18">
        <v>2023</v>
      </c>
      <c r="I18">
        <v>2188.5536230560747</v>
      </c>
    </row>
    <row r="19" spans="8:9" x14ac:dyDescent="0.3">
      <c r="H19">
        <v>2024</v>
      </c>
      <c r="I19">
        <v>1972.0254357059951</v>
      </c>
    </row>
  </sheetData>
  <sheetProtection sheet="1" objects="1" scenarios="1" selectLockedCells="1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8EEA-7BE2-4861-B9BC-C497B3341F6F}">
  <dimension ref="A1:G22"/>
  <sheetViews>
    <sheetView tabSelected="1" zoomScale="115" zoomScaleNormal="115" workbookViewId="0">
      <selection activeCell="Q12" sqref="Q12"/>
    </sheetView>
  </sheetViews>
  <sheetFormatPr defaultRowHeight="14.4" x14ac:dyDescent="0.3"/>
  <cols>
    <col min="1" max="1" width="13.6640625" bestFit="1" customWidth="1"/>
    <col min="2" max="2" width="11.21875" bestFit="1" customWidth="1"/>
    <col min="3" max="3" width="10.5546875" bestFit="1" customWidth="1"/>
  </cols>
  <sheetData>
    <row r="1" spans="1:7" x14ac:dyDescent="0.3">
      <c r="A1" s="1" t="s">
        <v>19</v>
      </c>
      <c r="B1" t="s">
        <v>21</v>
      </c>
      <c r="C1" t="s">
        <v>22</v>
      </c>
    </row>
    <row r="2" spans="1:7" x14ac:dyDescent="0.3">
      <c r="A2" s="2" t="s">
        <v>17</v>
      </c>
      <c r="B2" s="3"/>
      <c r="C2" s="3"/>
      <c r="E2" t="s">
        <v>20</v>
      </c>
      <c r="F2" t="s">
        <v>17</v>
      </c>
      <c r="G2" t="s">
        <v>18</v>
      </c>
    </row>
    <row r="3" spans="1:7" x14ac:dyDescent="0.3">
      <c r="A3" s="8">
        <v>2015</v>
      </c>
      <c r="B3" s="3">
        <v>237</v>
      </c>
      <c r="C3" s="6">
        <v>8.3900000000000002E-2</v>
      </c>
      <c r="D3" s="9"/>
      <c r="E3" cm="1">
        <f t="array" ref="E3:E11">A3:A11</f>
        <v>2015</v>
      </c>
      <c r="F3" cm="1">
        <f t="array" ref="F3:F11">B3:B11</f>
        <v>237</v>
      </c>
      <c r="G3" cm="1">
        <f t="array" ref="G3:G11">B13:B21</f>
        <v>2588</v>
      </c>
    </row>
    <row r="4" spans="1:7" x14ac:dyDescent="0.3">
      <c r="A4" s="8">
        <v>2016</v>
      </c>
      <c r="B4" s="3">
        <v>311</v>
      </c>
      <c r="C4" s="6">
        <v>9.1600000000000001E-2</v>
      </c>
      <c r="D4" s="9"/>
      <c r="E4">
        <v>2016</v>
      </c>
      <c r="F4">
        <v>311</v>
      </c>
      <c r="G4">
        <v>3086</v>
      </c>
    </row>
    <row r="5" spans="1:7" x14ac:dyDescent="0.3">
      <c r="A5" s="8">
        <v>2017</v>
      </c>
      <c r="B5" s="3">
        <v>385</v>
      </c>
      <c r="C5" s="6">
        <v>9.4600000000000004E-2</v>
      </c>
      <c r="D5" s="9"/>
      <c r="E5">
        <v>2017</v>
      </c>
      <c r="F5">
        <v>385</v>
      </c>
      <c r="G5">
        <v>3683</v>
      </c>
    </row>
    <row r="6" spans="1:7" x14ac:dyDescent="0.3">
      <c r="A6" s="8">
        <v>2018</v>
      </c>
      <c r="B6" s="3">
        <v>704</v>
      </c>
      <c r="C6" s="6">
        <v>9.4499999999999987E-2</v>
      </c>
      <c r="D6" s="9"/>
      <c r="E6">
        <v>2018</v>
      </c>
      <c r="F6">
        <v>704</v>
      </c>
      <c r="G6">
        <v>6742</v>
      </c>
    </row>
    <row r="7" spans="1:7" x14ac:dyDescent="0.3">
      <c r="A7" s="8">
        <v>2019</v>
      </c>
      <c r="B7" s="3">
        <v>687</v>
      </c>
      <c r="C7" s="6">
        <v>8.8599999999999998E-2</v>
      </c>
      <c r="D7" s="9"/>
      <c r="E7">
        <v>2019</v>
      </c>
      <c r="F7">
        <v>687</v>
      </c>
      <c r="G7">
        <v>7068</v>
      </c>
    </row>
    <row r="8" spans="1:7" x14ac:dyDescent="0.3">
      <c r="A8" s="8">
        <v>2020</v>
      </c>
      <c r="B8" s="3">
        <v>283</v>
      </c>
      <c r="C8" s="6">
        <v>9.3399999999999997E-2</v>
      </c>
      <c r="D8" s="9"/>
      <c r="E8">
        <v>2020</v>
      </c>
      <c r="F8">
        <v>283</v>
      </c>
      <c r="G8">
        <v>2748</v>
      </c>
    </row>
    <row r="9" spans="1:7" x14ac:dyDescent="0.3">
      <c r="A9" s="8">
        <v>2021</v>
      </c>
      <c r="B9" s="3">
        <v>442</v>
      </c>
      <c r="C9" s="6">
        <v>9.4800000000000009E-2</v>
      </c>
      <c r="D9" s="9"/>
      <c r="E9">
        <v>2021</v>
      </c>
      <c r="F9">
        <v>442</v>
      </c>
      <c r="G9">
        <v>4221</v>
      </c>
    </row>
    <row r="10" spans="1:7" x14ac:dyDescent="0.3">
      <c r="A10" s="8">
        <v>2022</v>
      </c>
      <c r="B10" s="3">
        <v>937</v>
      </c>
      <c r="C10" s="6">
        <v>0.10400000000000001</v>
      </c>
      <c r="D10" s="9"/>
      <c r="E10">
        <v>2022</v>
      </c>
      <c r="F10">
        <v>937</v>
      </c>
      <c r="G10">
        <v>8073</v>
      </c>
    </row>
    <row r="11" spans="1:7" x14ac:dyDescent="0.3">
      <c r="A11" s="8">
        <v>2023</v>
      </c>
      <c r="B11" s="3">
        <v>455</v>
      </c>
      <c r="C11" s="6">
        <v>9.64E-2</v>
      </c>
      <c r="D11" s="9"/>
      <c r="E11">
        <v>2023</v>
      </c>
      <c r="F11">
        <v>455</v>
      </c>
      <c r="G11">
        <v>4263</v>
      </c>
    </row>
    <row r="12" spans="1:7" x14ac:dyDescent="0.3">
      <c r="A12" s="2" t="s">
        <v>18</v>
      </c>
      <c r="B12" s="3"/>
      <c r="C12" s="6"/>
      <c r="D12" s="9"/>
    </row>
    <row r="13" spans="1:7" x14ac:dyDescent="0.3">
      <c r="A13" s="8">
        <v>2015</v>
      </c>
      <c r="B13" s="3">
        <v>2588</v>
      </c>
      <c r="C13" s="6">
        <v>0.91610000000000003</v>
      </c>
      <c r="D13" s="9"/>
    </row>
    <row r="14" spans="1:7" x14ac:dyDescent="0.3">
      <c r="A14" s="8">
        <v>2016</v>
      </c>
      <c r="B14" s="3">
        <v>3086</v>
      </c>
      <c r="C14" s="6">
        <v>0.90839999999999999</v>
      </c>
      <c r="D14" s="9"/>
    </row>
    <row r="15" spans="1:7" x14ac:dyDescent="0.3">
      <c r="A15" s="8">
        <v>2017</v>
      </c>
      <c r="B15" s="3">
        <v>3683</v>
      </c>
      <c r="C15" s="6">
        <v>0.90540000000000009</v>
      </c>
      <c r="D15" s="9"/>
    </row>
    <row r="16" spans="1:7" x14ac:dyDescent="0.3">
      <c r="A16" s="8">
        <v>2018</v>
      </c>
      <c r="B16" s="3">
        <v>6742</v>
      </c>
      <c r="C16" s="6">
        <v>0.90549999999999997</v>
      </c>
      <c r="D16" s="9"/>
    </row>
    <row r="17" spans="1:4" x14ac:dyDescent="0.3">
      <c r="A17" s="8">
        <v>2019</v>
      </c>
      <c r="B17" s="3">
        <v>7068</v>
      </c>
      <c r="C17" s="6">
        <v>0.91139999999999999</v>
      </c>
      <c r="D17" s="9"/>
    </row>
    <row r="18" spans="1:4" x14ac:dyDescent="0.3">
      <c r="A18" s="8">
        <v>2020</v>
      </c>
      <c r="B18" s="3">
        <v>2748</v>
      </c>
      <c r="C18" s="6">
        <v>0.90659999999999996</v>
      </c>
      <c r="D18" s="9"/>
    </row>
    <row r="19" spans="1:4" x14ac:dyDescent="0.3">
      <c r="A19" s="8">
        <v>2021</v>
      </c>
      <c r="B19" s="3">
        <v>4221</v>
      </c>
      <c r="C19" s="6">
        <v>0.9052</v>
      </c>
      <c r="D19" s="9"/>
    </row>
    <row r="20" spans="1:4" x14ac:dyDescent="0.3">
      <c r="A20" s="8">
        <v>2022</v>
      </c>
      <c r="B20" s="3">
        <v>8073</v>
      </c>
      <c r="C20" s="6">
        <v>0.89599999999999991</v>
      </c>
      <c r="D20" s="9"/>
    </row>
    <row r="21" spans="1:4" x14ac:dyDescent="0.3">
      <c r="A21" s="8">
        <v>2023</v>
      </c>
      <c r="B21" s="3">
        <v>4263</v>
      </c>
      <c r="C21" s="6">
        <v>0.90359999999999996</v>
      </c>
      <c r="D21" s="9"/>
    </row>
    <row r="22" spans="1:4" x14ac:dyDescent="0.3">
      <c r="A22" s="2" t="s">
        <v>3</v>
      </c>
      <c r="B22" s="3">
        <v>46913</v>
      </c>
      <c r="C22" s="5">
        <v>9</v>
      </c>
    </row>
  </sheetData>
  <sheetProtection sheet="1" objects="1" scenarios="1" selectLockedCells="1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9A9F7C7-3BFE-427D-881B-69560C882011}">
  <ds:schemaRefs/>
</ds:datastoreItem>
</file>

<file path=customXml/itemProps2.xml><?xml version="1.0" encoding="utf-8"?>
<ds:datastoreItem xmlns:ds="http://schemas.openxmlformats.org/officeDocument/2006/customXml" ds:itemID="{14FD3985-7289-46F0-A9EF-52D62F87E2FE}">
  <ds:schemaRefs/>
</ds:datastoreItem>
</file>

<file path=customXml/itemProps3.xml><?xml version="1.0" encoding="utf-8"?>
<ds:datastoreItem xmlns:ds="http://schemas.openxmlformats.org/officeDocument/2006/customXml" ds:itemID="{1BDD7FEE-45CE-4259-A93A-79BF9B35465C}">
  <ds:schemaRefs/>
</ds:datastoreItem>
</file>

<file path=customXml/itemProps4.xml><?xml version="1.0" encoding="utf-8"?>
<ds:datastoreItem xmlns:ds="http://schemas.openxmlformats.org/officeDocument/2006/customXml" ds:itemID="{EA617193-9F76-40B2-801B-4527E47AE7CC}">
  <ds:schemaRefs/>
</ds:datastoreItem>
</file>

<file path=customXml/itemProps5.xml><?xml version="1.0" encoding="utf-8"?>
<ds:datastoreItem xmlns:ds="http://schemas.openxmlformats.org/officeDocument/2006/customXml" ds:itemID="{A3E553D5-8E21-40EA-BD37-C989E997CC5C}">
  <ds:schemaRefs/>
</ds:datastoreItem>
</file>

<file path=customXml/itemProps6.xml><?xml version="1.0" encoding="utf-8"?>
<ds:datastoreItem xmlns:ds="http://schemas.openxmlformats.org/officeDocument/2006/customXml" ds:itemID="{2A314E8F-53B5-47DE-ADAF-31C40EC387DC}">
  <ds:schemaRefs/>
</ds:datastoreItem>
</file>

<file path=customXml/itemProps7.xml><?xml version="1.0" encoding="utf-8"?>
<ds:datastoreItem xmlns:ds="http://schemas.openxmlformats.org/officeDocument/2006/customXml" ds:itemID="{0CE115DD-15C7-4080-BCCB-19E9F6C3405D}">
  <ds:schemaRefs/>
</ds:datastoreItem>
</file>

<file path=customXml/itemProps8.xml><?xml version="1.0" encoding="utf-8"?>
<ds:datastoreItem xmlns:ds="http://schemas.openxmlformats.org/officeDocument/2006/customXml" ds:itemID="{7DB19A63-AE63-46EC-96EC-4323FDD8E1B5}">
  <ds:schemaRefs/>
</ds:datastoreItem>
</file>

<file path=customXml/itemProps9.xml><?xml version="1.0" encoding="utf-8"?>
<ds:datastoreItem xmlns:ds="http://schemas.openxmlformats.org/officeDocument/2006/customXml" ds:itemID="{929CA60E-33BB-4EA4-ACF3-10DAEE8FA85A}">
  <ds:schemaRefs/>
</ds:datastoreItem>
</file>

<file path=customXml/itemProps10.xml><?xml version="1.0" encoding="utf-8"?>
<ds:datastoreItem xmlns:ds="http://schemas.openxmlformats.org/officeDocument/2006/customXml" ds:itemID="{C7C7713F-2D32-45CA-A302-744C4373CA2F}">
  <ds:schemaRefs/>
</ds:datastoreItem>
</file>

<file path=customXml/itemProps11.xml><?xml version="1.0" encoding="utf-8"?>
<ds:datastoreItem xmlns:ds="http://schemas.openxmlformats.org/officeDocument/2006/customXml" ds:itemID="{9173E967-E2FE-444C-9F1D-EA8513C8F948}">
  <ds:schemaRefs/>
</ds:datastoreItem>
</file>

<file path=customXml/itemProps12.xml><?xml version="1.0" encoding="utf-8"?>
<ds:datastoreItem xmlns:ds="http://schemas.openxmlformats.org/officeDocument/2006/customXml" ds:itemID="{00C9B4F9-8B20-48A3-A79B-84037855D7F0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0CE5EBF-BF25-4CE4-BE3A-2DDDC762A3A4}">
  <ds:schemaRefs/>
</ds:datastoreItem>
</file>

<file path=customXml/itemProps14.xml><?xml version="1.0" encoding="utf-8"?>
<ds:datastoreItem xmlns:ds="http://schemas.openxmlformats.org/officeDocument/2006/customXml" ds:itemID="{1115858B-6F2F-46AD-8981-310FE6CDD97D}">
  <ds:schemaRefs/>
</ds:datastoreItem>
</file>

<file path=customXml/itemProps15.xml><?xml version="1.0" encoding="utf-8"?>
<ds:datastoreItem xmlns:ds="http://schemas.openxmlformats.org/officeDocument/2006/customXml" ds:itemID="{8575A155-421B-4500-82DA-00B01A636604}">
  <ds:schemaRefs/>
</ds:datastoreItem>
</file>

<file path=customXml/itemProps16.xml><?xml version="1.0" encoding="utf-8"?>
<ds:datastoreItem xmlns:ds="http://schemas.openxmlformats.org/officeDocument/2006/customXml" ds:itemID="{324944D4-8022-4700-A93F-972B3D73B53D}">
  <ds:schemaRefs/>
</ds:datastoreItem>
</file>

<file path=customXml/itemProps17.xml><?xml version="1.0" encoding="utf-8"?>
<ds:datastoreItem xmlns:ds="http://schemas.openxmlformats.org/officeDocument/2006/customXml" ds:itemID="{A7563FC2-C242-4D7C-B5BC-A89C27F6A6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1_client_categories</vt:lpstr>
      <vt:lpstr>2.1_client_revenue_by_cohort</vt:lpstr>
      <vt:lpstr>2.2_Revenue_by_year_since_1ord</vt:lpstr>
      <vt:lpstr>2.3_client_revenue_1st_cohort</vt:lpstr>
      <vt:lpstr>3_active_clients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Voropaev</dc:creator>
  <cp:lastModifiedBy>Damian Voropaev</cp:lastModifiedBy>
  <dcterms:created xsi:type="dcterms:W3CDTF">2015-06-05T18:17:20Z</dcterms:created>
  <dcterms:modified xsi:type="dcterms:W3CDTF">2025-08-06T14:33:22Z</dcterms:modified>
</cp:coreProperties>
</file>